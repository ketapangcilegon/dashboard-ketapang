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956C74A-3980-4024-AB2C-5819EF8D68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" i="1"/>
</calcChain>
</file>

<file path=xl/sharedStrings.xml><?xml version="1.0" encoding="utf-8"?>
<sst xmlns="http://schemas.openxmlformats.org/spreadsheetml/2006/main" count="122" uniqueCount="83">
  <si>
    <t>NAMA KAB/KOTA: KOTA CILEGON</t>
  </si>
  <si>
    <t>Tahun</t>
  </si>
  <si>
    <t>kelurahan</t>
  </si>
  <si>
    <t>kecamatan</t>
  </si>
  <si>
    <t>kode kecamatan bps</t>
  </si>
  <si>
    <t>kode kelurahan bpskelurahan</t>
  </si>
  <si>
    <t>CIWANDAN</t>
  </si>
  <si>
    <t>CITANGKIL</t>
  </si>
  <si>
    <t>PULO MERAK</t>
  </si>
  <si>
    <t>PURWAKARTA</t>
  </si>
  <si>
    <t>GEROGOL</t>
  </si>
  <si>
    <t>CILEGON</t>
  </si>
  <si>
    <t>JOMBANG</t>
  </si>
  <si>
    <t>CIBEBER</t>
  </si>
  <si>
    <t>Gunung Sugih</t>
  </si>
  <si>
    <t>Kepuh</t>
  </si>
  <si>
    <t>Randakari</t>
  </si>
  <si>
    <t>Tegal Ratu</t>
  </si>
  <si>
    <t>Banjar Negara</t>
  </si>
  <si>
    <t>Kubangsari</t>
  </si>
  <si>
    <t>Deringo</t>
  </si>
  <si>
    <t>Lebak Denok</t>
  </si>
  <si>
    <t>Taman Baru</t>
  </si>
  <si>
    <t>Citangkil</t>
  </si>
  <si>
    <t>Kebonsari</t>
  </si>
  <si>
    <t>Warnasari</t>
  </si>
  <si>
    <t>Samangraya</t>
  </si>
  <si>
    <t>Mekarsari</t>
  </si>
  <si>
    <t>Tamansari</t>
  </si>
  <si>
    <t>Lebakgede</t>
  </si>
  <si>
    <t>Suralaya</t>
  </si>
  <si>
    <t>Ramanuju</t>
  </si>
  <si>
    <t>Kebon Dalem</t>
  </si>
  <si>
    <t>Purwakarta</t>
  </si>
  <si>
    <t>Tegal Bunder</t>
  </si>
  <si>
    <t>Pabean</t>
  </si>
  <si>
    <t>Kotabumi</t>
  </si>
  <si>
    <t>Kotasari</t>
  </si>
  <si>
    <t xml:space="preserve">Gerogol </t>
  </si>
  <si>
    <t>Rawa Arum</t>
  </si>
  <si>
    <t>Gerem</t>
  </si>
  <si>
    <t>Bagendung</t>
  </si>
  <si>
    <t>Ciwedus</t>
  </si>
  <si>
    <t>Bendungan</t>
  </si>
  <si>
    <t>Ciwaduk</t>
  </si>
  <si>
    <t>Ketileng</t>
  </si>
  <si>
    <t>Jombang Wetan</t>
  </si>
  <si>
    <t>Masigit</t>
  </si>
  <si>
    <t>Panggung Rawi</t>
  </si>
  <si>
    <t>Gedong Dalem</t>
  </si>
  <si>
    <t>Sukmajaya</t>
  </si>
  <si>
    <t>Bulakan</t>
  </si>
  <si>
    <t>Cikerai</t>
  </si>
  <si>
    <t>Kalitimbang</t>
  </si>
  <si>
    <t>Karang Asem</t>
  </si>
  <si>
    <t>Cibeber</t>
  </si>
  <si>
    <t>Kedaleman</t>
  </si>
  <si>
    <t>Luas Wilayah (Ha)</t>
  </si>
  <si>
    <t>Luas Sawah (Ha)</t>
  </si>
  <si>
    <t>jumlah peduduk laki-laki</t>
  </si>
  <si>
    <t>jumlah penduduk perempuan</t>
  </si>
  <si>
    <t>jumlah penduduk total (jiwa)</t>
  </si>
  <si>
    <t>Nomor urut kelurahan kemendagri</t>
  </si>
  <si>
    <t>Produksi GKG (ton)</t>
  </si>
  <si>
    <t>Produksi jagung (ton)</t>
  </si>
  <si>
    <t xml:space="preserve"> -   </t>
  </si>
  <si>
    <t>Produksi ubi kayu (ton)</t>
  </si>
  <si>
    <t>Produksi ubi jalar (ton)</t>
  </si>
  <si>
    <t>konsumsi energi (Kkal/kapita/hari)</t>
  </si>
  <si>
    <t>standar kebutuhan energi</t>
  </si>
  <si>
    <t>konsumsi protein hewani</t>
  </si>
  <si>
    <t>standar knusmsi protein hewai</t>
  </si>
  <si>
    <t>cadangan pangan pemerintah daerah (ton beras)</t>
  </si>
  <si>
    <t>persentase rumah tangga miskin</t>
  </si>
  <si>
    <t>prevalency of undernourished (%)</t>
  </si>
  <si>
    <t>persentase perempuan 15 tahun yang sekolah</t>
  </si>
  <si>
    <t>persentase rumah tangga tanpa akses air bersih</t>
  </si>
  <si>
    <t>pola pangan harapan (score)</t>
  </si>
  <si>
    <t>pevalensi stunting (%)</t>
  </si>
  <si>
    <t>harga beras</t>
  </si>
  <si>
    <t>harga minyak goreng</t>
  </si>
  <si>
    <t>harga telur ayam</t>
  </si>
  <si>
    <t>harga gula pasir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</si>
</sst>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_-;\-* #,##0.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6"/>
  <sheetViews>
    <sheetView tabSelected="1" topLeftCell="K1" workbookViewId="0">
      <selection activeCell="AD9" sqref="AD9"/>
    </sheetView>
  </sheetViews>
  <sheetFormatPr defaultRowHeight="14.4" x14ac:dyDescent="0.3"/>
  <cols>
    <col min="1" max="1" width="15.109375" customWidth="1"/>
    <col min="2" max="2" width="6" bestFit="1" customWidth="1"/>
    <col min="3" max="3" width="17.88671875" bestFit="1" customWidth="1"/>
    <col min="4" max="4" width="17.88671875" customWidth="1"/>
    <col min="5" max="5" width="14.21875" bestFit="1" customWidth="1"/>
    <col min="6" max="6" width="25" bestFit="1" customWidth="1"/>
    <col min="8" max="8" width="10.21875" bestFit="1" customWidth="1"/>
    <col min="9" max="9" width="11.33203125" bestFit="1" customWidth="1"/>
    <col min="10" max="10" width="15.5546875" style="1" bestFit="1" customWidth="1"/>
    <col min="11" max="11" width="16.6640625" style="1" customWidth="1"/>
    <col min="16" max="16" width="9.5546875" customWidth="1"/>
  </cols>
  <sheetData>
    <row r="1" spans="1:30" x14ac:dyDescent="0.3">
      <c r="B1" t="s">
        <v>0</v>
      </c>
    </row>
    <row r="3" spans="1:30" s="2" customFormat="1" ht="58.2" customHeight="1" x14ac:dyDescent="0.3">
      <c r="A3" s="2" t="s">
        <v>62</v>
      </c>
      <c r="B3" s="2" t="s">
        <v>1</v>
      </c>
      <c r="C3" s="2" t="s">
        <v>3</v>
      </c>
      <c r="D3" s="2" t="s">
        <v>4</v>
      </c>
      <c r="E3" s="2" t="s">
        <v>2</v>
      </c>
      <c r="F3" s="2" t="s">
        <v>5</v>
      </c>
      <c r="G3" s="2" t="s">
        <v>59</v>
      </c>
      <c r="H3" s="2" t="s">
        <v>60</v>
      </c>
      <c r="I3" s="2" t="s">
        <v>61</v>
      </c>
      <c r="J3" s="3" t="s">
        <v>57</v>
      </c>
      <c r="K3" s="3" t="s">
        <v>58</v>
      </c>
      <c r="L3" s="2" t="s">
        <v>63</v>
      </c>
      <c r="M3" s="2" t="s">
        <v>64</v>
      </c>
      <c r="N3" s="2" t="s">
        <v>66</v>
      </c>
      <c r="O3" s="2" t="s">
        <v>67</v>
      </c>
      <c r="P3" s="2" t="s">
        <v>68</v>
      </c>
      <c r="Q3" s="2" t="s">
        <v>69</v>
      </c>
      <c r="R3" s="2" t="s">
        <v>70</v>
      </c>
      <c r="S3" s="2" t="s">
        <v>71</v>
      </c>
      <c r="T3" s="2" t="s">
        <v>72</v>
      </c>
      <c r="U3" s="2" t="s">
        <v>73</v>
      </c>
      <c r="V3" s="2" t="s">
        <v>74</v>
      </c>
      <c r="W3" s="2" t="s">
        <v>75</v>
      </c>
      <c r="X3" s="2" t="s">
        <v>76</v>
      </c>
      <c r="Y3" s="2" t="s">
        <v>77</v>
      </c>
      <c r="Z3" s="2" t="s">
        <v>78</v>
      </c>
      <c r="AA3" s="2" t="s">
        <v>79</v>
      </c>
      <c r="AB3" s="2" t="s">
        <v>80</v>
      </c>
      <c r="AC3" s="2" t="s">
        <v>81</v>
      </c>
      <c r="AD3" s="2" t="s">
        <v>82</v>
      </c>
    </row>
    <row r="4" spans="1:30" x14ac:dyDescent="0.3">
      <c r="A4">
        <v>19</v>
      </c>
      <c r="B4">
        <v>2025</v>
      </c>
      <c r="C4" t="s">
        <v>6</v>
      </c>
      <c r="D4">
        <v>3672010</v>
      </c>
      <c r="E4" t="s">
        <v>14</v>
      </c>
      <c r="F4">
        <v>3672010001</v>
      </c>
      <c r="G4">
        <v>3475</v>
      </c>
      <c r="H4">
        <v>3265</v>
      </c>
      <c r="I4">
        <f>SUM(G4:H4)</f>
        <v>6740</v>
      </c>
      <c r="J4" s="1">
        <v>713.37712099999999</v>
      </c>
      <c r="K4" s="1">
        <v>15.399443929564413</v>
      </c>
      <c r="L4">
        <v>205.82</v>
      </c>
      <c r="M4">
        <v>0</v>
      </c>
      <c r="N4">
        <v>8.5749999999999993</v>
      </c>
      <c r="O4">
        <v>0.1</v>
      </c>
      <c r="P4">
        <v>2055.48</v>
      </c>
      <c r="Q4">
        <v>2100</v>
      </c>
      <c r="R4">
        <v>18.995374999999999</v>
      </c>
      <c r="S4">
        <v>25</v>
      </c>
      <c r="T4">
        <v>1.8618629495938612</v>
      </c>
      <c r="U4">
        <v>13.471810089020773</v>
      </c>
      <c r="V4">
        <v>2.3084200567644277</v>
      </c>
      <c r="W4">
        <v>9.2098087609517414</v>
      </c>
      <c r="X4">
        <v>2.3084200567644277</v>
      </c>
      <c r="Y4">
        <v>92.910799999999995</v>
      </c>
      <c r="Z4">
        <v>4.1758241758241752</v>
      </c>
    </row>
    <row r="5" spans="1:30" x14ac:dyDescent="0.3">
      <c r="A5">
        <v>20</v>
      </c>
      <c r="B5">
        <v>2025</v>
      </c>
      <c r="C5" t="s">
        <v>6</v>
      </c>
      <c r="D5">
        <v>3672010</v>
      </c>
      <c r="E5" t="s">
        <v>15</v>
      </c>
      <c r="F5">
        <v>3672010002</v>
      </c>
      <c r="G5">
        <v>4757</v>
      </c>
      <c r="H5">
        <v>4569</v>
      </c>
      <c r="I5">
        <f t="shared" ref="I5:I46" si="0">SUM(G5:H5)</f>
        <v>9326</v>
      </c>
      <c r="J5" s="1">
        <v>875.98903660000008</v>
      </c>
      <c r="K5" s="1">
        <v>57.623725671918443</v>
      </c>
      <c r="L5">
        <v>240.12</v>
      </c>
      <c r="M5">
        <v>0.97894700000000001</v>
      </c>
      <c r="N5">
        <v>8.5749999999999993</v>
      </c>
      <c r="O5">
        <v>0</v>
      </c>
      <c r="P5">
        <v>2032.8</v>
      </c>
      <c r="Q5">
        <v>2100</v>
      </c>
      <c r="R5">
        <v>18.482100000000003</v>
      </c>
      <c r="S5">
        <v>25</v>
      </c>
      <c r="T5">
        <v>2.5762216421234942</v>
      </c>
      <c r="U5">
        <v>18.035599399528202</v>
      </c>
      <c r="V5">
        <v>2.250728862973761</v>
      </c>
      <c r="W5">
        <v>9.5069474458637124</v>
      </c>
      <c r="X5">
        <v>2.250728862973761</v>
      </c>
      <c r="Y5">
        <v>92.3917</v>
      </c>
      <c r="Z5">
        <v>5.83</v>
      </c>
    </row>
    <row r="6" spans="1:30" x14ac:dyDescent="0.3">
      <c r="A6">
        <v>21</v>
      </c>
      <c r="B6">
        <v>2025</v>
      </c>
      <c r="C6" t="s">
        <v>6</v>
      </c>
      <c r="D6">
        <v>3672010</v>
      </c>
      <c r="E6" t="s">
        <v>16</v>
      </c>
      <c r="F6">
        <v>3672010003</v>
      </c>
      <c r="G6">
        <v>5037</v>
      </c>
      <c r="H6">
        <v>4808</v>
      </c>
      <c r="I6">
        <f t="shared" si="0"/>
        <v>9845</v>
      </c>
      <c r="J6" s="1">
        <v>367.5948209</v>
      </c>
      <c r="K6" s="1">
        <v>33.731660369287802</v>
      </c>
      <c r="L6">
        <v>280.14</v>
      </c>
      <c r="M6">
        <v>1.468421</v>
      </c>
      <c r="N6">
        <v>9.8000000000000007</v>
      </c>
      <c r="O6">
        <v>0</v>
      </c>
      <c r="P6">
        <v>2017.47</v>
      </c>
      <c r="Q6">
        <v>2100</v>
      </c>
      <c r="R6">
        <v>18.620424999999997</v>
      </c>
      <c r="S6">
        <v>25</v>
      </c>
      <c r="T6">
        <v>2.7195906140580957</v>
      </c>
      <c r="U6">
        <v>15.540883697308278</v>
      </c>
      <c r="V6">
        <v>2.6389537599252688</v>
      </c>
      <c r="W6">
        <v>9.6988078646598019</v>
      </c>
      <c r="X6">
        <v>2.6389537599252688</v>
      </c>
      <c r="Y6">
        <v>91.9893</v>
      </c>
      <c r="Z6">
        <v>3.51</v>
      </c>
    </row>
    <row r="7" spans="1:30" x14ac:dyDescent="0.3">
      <c r="A7">
        <v>17</v>
      </c>
      <c r="B7">
        <v>2025</v>
      </c>
      <c r="C7" t="s">
        <v>6</v>
      </c>
      <c r="D7">
        <v>3672010</v>
      </c>
      <c r="E7" t="s">
        <v>17</v>
      </c>
      <c r="F7">
        <v>3672010004</v>
      </c>
      <c r="G7">
        <v>6133</v>
      </c>
      <c r="H7">
        <v>5854</v>
      </c>
      <c r="I7">
        <f t="shared" si="0"/>
        <v>11987</v>
      </c>
      <c r="J7" s="1">
        <v>623.6439057</v>
      </c>
      <c r="K7" s="1">
        <v>78.267769302060316</v>
      </c>
      <c r="L7">
        <v>514.54</v>
      </c>
      <c r="M7">
        <v>0.97894700000000001</v>
      </c>
      <c r="N7">
        <v>8.5749999999999993</v>
      </c>
      <c r="O7">
        <v>0.2</v>
      </c>
      <c r="P7">
        <v>2055.27</v>
      </c>
      <c r="Q7">
        <v>2100</v>
      </c>
      <c r="R7">
        <v>19.634599999999999</v>
      </c>
      <c r="S7">
        <v>25</v>
      </c>
      <c r="T7">
        <v>3.3112983941812488</v>
      </c>
      <c r="U7">
        <v>9.4936180862601152</v>
      </c>
      <c r="V7">
        <v>2.3148148148148149</v>
      </c>
      <c r="W7">
        <v>10.225720994848883</v>
      </c>
      <c r="X7">
        <v>2.3148148148148149</v>
      </c>
      <c r="Y7">
        <v>92.885400000000004</v>
      </c>
      <c r="Z7">
        <v>4.57</v>
      </c>
    </row>
    <row r="8" spans="1:30" x14ac:dyDescent="0.3">
      <c r="A8">
        <v>16</v>
      </c>
      <c r="B8">
        <v>2025</v>
      </c>
      <c r="C8" t="s">
        <v>6</v>
      </c>
      <c r="D8">
        <v>3672010</v>
      </c>
      <c r="E8" t="s">
        <v>18</v>
      </c>
      <c r="F8">
        <v>3672010005</v>
      </c>
      <c r="G8">
        <v>4271</v>
      </c>
      <c r="H8">
        <v>4204</v>
      </c>
      <c r="I8">
        <f t="shared" si="0"/>
        <v>8475</v>
      </c>
      <c r="J8" s="1">
        <v>230.54089100000002</v>
      </c>
      <c r="K8" s="1">
        <v>37.409567263135379</v>
      </c>
      <c r="L8">
        <v>291.58</v>
      </c>
      <c r="M8">
        <v>0.97894700000000001</v>
      </c>
      <c r="N8">
        <v>6.125</v>
      </c>
      <c r="O8">
        <v>0.1</v>
      </c>
      <c r="P8">
        <v>2068.08</v>
      </c>
      <c r="Q8">
        <v>2100</v>
      </c>
      <c r="R8">
        <v>19.601324999999999</v>
      </c>
      <c r="S8">
        <v>25</v>
      </c>
      <c r="T8">
        <v>2.3411407266777409</v>
      </c>
      <c r="U8">
        <v>19.37463126843658</v>
      </c>
      <c r="V8">
        <v>2.0974629490077867</v>
      </c>
      <c r="W8">
        <v>9.4395666697555072</v>
      </c>
      <c r="X8">
        <v>2.0974629490077867</v>
      </c>
      <c r="Y8">
        <v>92.813699999999997</v>
      </c>
      <c r="Z8">
        <v>4.21</v>
      </c>
    </row>
    <row r="9" spans="1:30" x14ac:dyDescent="0.3">
      <c r="A9">
        <v>18</v>
      </c>
      <c r="B9">
        <v>2025</v>
      </c>
      <c r="C9" t="s">
        <v>6</v>
      </c>
      <c r="D9">
        <v>3672010</v>
      </c>
      <c r="E9" t="s">
        <v>19</v>
      </c>
      <c r="F9">
        <v>3672010013</v>
      </c>
      <c r="G9">
        <v>4219</v>
      </c>
      <c r="H9">
        <v>4014</v>
      </c>
      <c r="I9">
        <f t="shared" si="0"/>
        <v>8233</v>
      </c>
      <c r="J9" s="1">
        <v>444.39129209999999</v>
      </c>
      <c r="K9" s="1">
        <v>45.567833464033647</v>
      </c>
      <c r="L9">
        <v>400.2</v>
      </c>
      <c r="M9">
        <v>4.8947370000000001</v>
      </c>
      <c r="N9">
        <v>7.35</v>
      </c>
      <c r="O9">
        <v>0.1</v>
      </c>
      <c r="P9">
        <v>2035.95</v>
      </c>
      <c r="Q9">
        <v>2100</v>
      </c>
      <c r="R9">
        <v>19.561775000000001</v>
      </c>
      <c r="S9">
        <v>25</v>
      </c>
      <c r="T9">
        <v>2.2742904546003353</v>
      </c>
      <c r="U9">
        <v>17.381270496781244</v>
      </c>
      <c r="V9">
        <v>2.2667948894078855</v>
      </c>
      <c r="W9">
        <v>10.158956078938898</v>
      </c>
      <c r="X9">
        <v>2.2667948894078855</v>
      </c>
      <c r="Y9">
        <v>92.483000000000004</v>
      </c>
      <c r="Z9">
        <v>6.96</v>
      </c>
    </row>
    <row r="10" spans="1:30" x14ac:dyDescent="0.3">
      <c r="A10">
        <v>38</v>
      </c>
      <c r="B10">
        <v>2025</v>
      </c>
      <c r="C10" t="s">
        <v>7</v>
      </c>
      <c r="D10">
        <v>3672011</v>
      </c>
      <c r="E10" t="s">
        <v>20</v>
      </c>
      <c r="F10">
        <v>3672011006</v>
      </c>
      <c r="G10">
        <v>5421</v>
      </c>
      <c r="H10">
        <v>5044</v>
      </c>
      <c r="I10">
        <f t="shared" si="0"/>
        <v>10465</v>
      </c>
      <c r="J10" s="1">
        <v>273.72879810000001</v>
      </c>
      <c r="K10" s="1">
        <v>23.179472657479078</v>
      </c>
      <c r="L10">
        <v>328.14</v>
      </c>
      <c r="M10">
        <v>1.4</v>
      </c>
      <c r="N10">
        <v>15</v>
      </c>
      <c r="O10">
        <v>2.625</v>
      </c>
      <c r="P10">
        <v>2034.69</v>
      </c>
      <c r="Q10">
        <v>2100</v>
      </c>
      <c r="R10">
        <v>19.003975000000001</v>
      </c>
      <c r="S10">
        <v>25</v>
      </c>
      <c r="T10">
        <v>2.8908599061572344</v>
      </c>
      <c r="U10">
        <v>19.025322503583372</v>
      </c>
      <c r="V10">
        <v>1.9853390348197923</v>
      </c>
      <c r="W10">
        <v>9.7590530470999752</v>
      </c>
      <c r="X10">
        <v>1.9853390348197923</v>
      </c>
      <c r="Y10">
        <v>92.383700000000005</v>
      </c>
      <c r="Z10">
        <v>1.64</v>
      </c>
    </row>
    <row r="11" spans="1:30" x14ac:dyDescent="0.3">
      <c r="A11">
        <v>39</v>
      </c>
      <c r="B11">
        <v>2025</v>
      </c>
      <c r="C11" t="s">
        <v>7</v>
      </c>
      <c r="D11">
        <v>3672011</v>
      </c>
      <c r="E11" t="s">
        <v>21</v>
      </c>
      <c r="F11">
        <v>3672011007</v>
      </c>
      <c r="G11">
        <v>6673</v>
      </c>
      <c r="H11">
        <v>6649</v>
      </c>
      <c r="I11">
        <f t="shared" si="0"/>
        <v>13322</v>
      </c>
      <c r="J11" s="1">
        <v>292.45223220000003</v>
      </c>
      <c r="K11" s="1">
        <v>17.04266565980744</v>
      </c>
      <c r="L11">
        <v>293.60000000000002</v>
      </c>
      <c r="M11">
        <v>1.5</v>
      </c>
      <c r="N11">
        <v>15</v>
      </c>
      <c r="O11">
        <v>1.3125</v>
      </c>
      <c r="P11">
        <v>2032.17</v>
      </c>
      <c r="Q11">
        <v>2100</v>
      </c>
      <c r="R11">
        <v>19.277000000000001</v>
      </c>
      <c r="S11">
        <v>25</v>
      </c>
      <c r="T11">
        <v>3.6800798537818133</v>
      </c>
      <c r="U11">
        <v>8.3696141720462407</v>
      </c>
      <c r="V11">
        <v>2.7425578831312016</v>
      </c>
      <c r="W11">
        <v>10.204675603811664</v>
      </c>
      <c r="X11">
        <v>2.7425578831312016</v>
      </c>
      <c r="Y11">
        <v>92.307699999999997</v>
      </c>
      <c r="Z11">
        <v>1.17</v>
      </c>
    </row>
    <row r="12" spans="1:30" x14ac:dyDescent="0.3">
      <c r="A12">
        <v>40</v>
      </c>
      <c r="B12">
        <v>2025</v>
      </c>
      <c r="C12" t="s">
        <v>7</v>
      </c>
      <c r="D12">
        <v>3672011</v>
      </c>
      <c r="E12" t="s">
        <v>22</v>
      </c>
      <c r="F12">
        <v>3672011008</v>
      </c>
      <c r="G12">
        <v>5010</v>
      </c>
      <c r="H12">
        <v>4920</v>
      </c>
      <c r="I12">
        <f t="shared" si="0"/>
        <v>9930</v>
      </c>
      <c r="J12" s="1">
        <v>456.93755269999997</v>
      </c>
      <c r="K12" s="1">
        <v>34.772827386571016</v>
      </c>
      <c r="L12">
        <v>483.58</v>
      </c>
      <c r="M12">
        <v>2.2999999999999998</v>
      </c>
      <c r="N12">
        <v>15</v>
      </c>
      <c r="O12">
        <v>3.62</v>
      </c>
      <c r="P12">
        <v>2058.63</v>
      </c>
      <c r="Q12">
        <v>2100</v>
      </c>
      <c r="R12">
        <v>20.72925</v>
      </c>
      <c r="S12">
        <v>25</v>
      </c>
      <c r="T12">
        <v>2.7430710815233001</v>
      </c>
      <c r="U12">
        <v>11.027190332326283</v>
      </c>
      <c r="V12">
        <v>1.7771773020162129</v>
      </c>
      <c r="W12">
        <v>11.300333911595033</v>
      </c>
      <c r="X12">
        <v>1.7771773020162129</v>
      </c>
      <c r="Y12">
        <v>92.972999999999999</v>
      </c>
      <c r="Z12">
        <v>5.72</v>
      </c>
    </row>
    <row r="13" spans="1:30" x14ac:dyDescent="0.3">
      <c r="A13">
        <v>43</v>
      </c>
      <c r="B13">
        <v>2025</v>
      </c>
      <c r="C13" t="s">
        <v>7</v>
      </c>
      <c r="D13">
        <v>3672011</v>
      </c>
      <c r="E13" t="s">
        <v>23</v>
      </c>
      <c r="F13">
        <v>3672011009</v>
      </c>
      <c r="G13">
        <v>8399</v>
      </c>
      <c r="H13">
        <v>8352</v>
      </c>
      <c r="I13">
        <f t="shared" si="0"/>
        <v>16751</v>
      </c>
      <c r="J13" s="1">
        <v>142.5629112</v>
      </c>
      <c r="K13" s="1">
        <v>5.2322069095714561</v>
      </c>
      <c r="L13">
        <v>23.03</v>
      </c>
      <c r="M13">
        <v>0.7</v>
      </c>
      <c r="N13">
        <v>3</v>
      </c>
      <c r="O13">
        <v>1.3125</v>
      </c>
      <c r="P13">
        <v>2049.81</v>
      </c>
      <c r="Q13">
        <v>2100</v>
      </c>
      <c r="R13">
        <v>20.9528</v>
      </c>
      <c r="S13">
        <v>25</v>
      </c>
      <c r="T13">
        <v>4.6273095354075329</v>
      </c>
      <c r="U13">
        <v>7.7189421527073003</v>
      </c>
      <c r="V13">
        <v>2.2956521739130435</v>
      </c>
      <c r="W13">
        <v>11.033770950485515</v>
      </c>
      <c r="X13">
        <v>2.2956521739130435</v>
      </c>
      <c r="Y13">
        <v>92.761499999999998</v>
      </c>
      <c r="Z13">
        <v>5.93</v>
      </c>
    </row>
    <row r="14" spans="1:30" x14ac:dyDescent="0.3">
      <c r="A14">
        <v>41</v>
      </c>
      <c r="B14">
        <v>2025</v>
      </c>
      <c r="C14" t="s">
        <v>7</v>
      </c>
      <c r="D14">
        <v>3672011</v>
      </c>
      <c r="E14" t="s">
        <v>24</v>
      </c>
      <c r="F14">
        <v>3672011010</v>
      </c>
      <c r="G14">
        <v>6193</v>
      </c>
      <c r="H14">
        <v>6025</v>
      </c>
      <c r="I14">
        <f t="shared" si="0"/>
        <v>12218</v>
      </c>
      <c r="J14" s="1">
        <v>174.64187630000001</v>
      </c>
      <c r="K14" s="1">
        <v>12.222956390409667</v>
      </c>
      <c r="L14">
        <v>115.14</v>
      </c>
      <c r="M14">
        <v>0.9</v>
      </c>
      <c r="N14">
        <v>3</v>
      </c>
      <c r="O14">
        <v>1.3125</v>
      </c>
      <c r="P14">
        <v>2057.58</v>
      </c>
      <c r="Q14">
        <v>2100</v>
      </c>
      <c r="R14">
        <v>20.131450000000001</v>
      </c>
      <c r="S14">
        <v>25</v>
      </c>
      <c r="T14">
        <v>3.375110017527863</v>
      </c>
      <c r="U14">
        <v>11.736781797348176</v>
      </c>
      <c r="V14">
        <v>2.5652444998663935</v>
      </c>
      <c r="W14">
        <v>10.577096216983419</v>
      </c>
      <c r="X14">
        <v>2.5652444998663935</v>
      </c>
      <c r="Y14">
        <v>92.875299999999996</v>
      </c>
      <c r="Z14">
        <v>2.52</v>
      </c>
    </row>
    <row r="15" spans="1:30" x14ac:dyDescent="0.3">
      <c r="A15">
        <v>37</v>
      </c>
      <c r="B15">
        <v>2025</v>
      </c>
      <c r="C15" t="s">
        <v>7</v>
      </c>
      <c r="D15">
        <v>3672011</v>
      </c>
      <c r="E15" t="s">
        <v>25</v>
      </c>
      <c r="F15">
        <v>3672011011</v>
      </c>
      <c r="G15">
        <v>7305</v>
      </c>
      <c r="H15">
        <v>7197</v>
      </c>
      <c r="I15">
        <f t="shared" si="0"/>
        <v>14502</v>
      </c>
      <c r="J15" s="1">
        <v>659.06084320000002</v>
      </c>
      <c r="K15" s="1">
        <v>7.099301491410233</v>
      </c>
      <c r="L15">
        <v>0</v>
      </c>
      <c r="M15">
        <v>3.4</v>
      </c>
      <c r="N15">
        <v>1.5</v>
      </c>
      <c r="O15">
        <v>0</v>
      </c>
      <c r="P15">
        <v>2005.92</v>
      </c>
      <c r="Q15">
        <v>2100</v>
      </c>
      <c r="R15">
        <v>19.723575</v>
      </c>
      <c r="S15">
        <v>25</v>
      </c>
      <c r="T15">
        <v>4.0060439903575933</v>
      </c>
      <c r="U15">
        <v>7.5920562681009507</v>
      </c>
      <c r="V15">
        <v>1.9771528998242531</v>
      </c>
      <c r="W15">
        <v>11.525559516923963</v>
      </c>
      <c r="X15">
        <v>1.9771528998242531</v>
      </c>
      <c r="Y15">
        <v>91.784099999999995</v>
      </c>
      <c r="Z15">
        <v>6.93</v>
      </c>
    </row>
    <row r="16" spans="1:30" x14ac:dyDescent="0.3">
      <c r="A16">
        <v>42</v>
      </c>
      <c r="B16">
        <v>2025</v>
      </c>
      <c r="C16" t="s">
        <v>7</v>
      </c>
      <c r="D16">
        <v>3672011</v>
      </c>
      <c r="E16" t="s">
        <v>26</v>
      </c>
      <c r="F16">
        <v>3672011012</v>
      </c>
      <c r="G16">
        <v>5409</v>
      </c>
      <c r="H16">
        <v>5288</v>
      </c>
      <c r="I16">
        <f t="shared" si="0"/>
        <v>10697</v>
      </c>
      <c r="J16" s="1">
        <v>595.09257960000002</v>
      </c>
      <c r="K16" s="1">
        <v>15.450569504751119</v>
      </c>
      <c r="L16">
        <v>143.91999999999999</v>
      </c>
      <c r="M16">
        <v>3</v>
      </c>
      <c r="N16">
        <v>7.5</v>
      </c>
      <c r="O16">
        <v>1.3125</v>
      </c>
      <c r="P16">
        <v>2055.48</v>
      </c>
      <c r="Q16">
        <v>2100</v>
      </c>
      <c r="R16">
        <v>19.303850000000001</v>
      </c>
      <c r="S16">
        <v>25</v>
      </c>
      <c r="T16">
        <v>2.9549477702975571</v>
      </c>
      <c r="U16">
        <v>19.510143030756286</v>
      </c>
      <c r="V16">
        <v>1.8666937201988434</v>
      </c>
      <c r="W16">
        <v>9.9715921108563865</v>
      </c>
      <c r="X16">
        <v>1.8666937201988434</v>
      </c>
      <c r="Y16">
        <v>92.882599999999996</v>
      </c>
      <c r="Z16">
        <v>3.71</v>
      </c>
    </row>
    <row r="17" spans="1:26" x14ac:dyDescent="0.3">
      <c r="A17">
        <v>14</v>
      </c>
      <c r="B17">
        <v>2025</v>
      </c>
      <c r="C17" t="s">
        <v>8</v>
      </c>
      <c r="D17">
        <v>3672020</v>
      </c>
      <c r="E17" t="s">
        <v>27</v>
      </c>
      <c r="F17">
        <v>3672020011</v>
      </c>
      <c r="G17">
        <v>6879</v>
      </c>
      <c r="H17">
        <v>6800</v>
      </c>
      <c r="I17">
        <f t="shared" si="0"/>
        <v>13679</v>
      </c>
      <c r="J17" s="1">
        <v>704.95543600000008</v>
      </c>
      <c r="K17" s="1">
        <v>2.1374692538945066</v>
      </c>
      <c r="L17">
        <v>27.9</v>
      </c>
      <c r="M17">
        <v>4.2</v>
      </c>
      <c r="N17">
        <v>38.200000000000003</v>
      </c>
      <c r="O17">
        <v>24.839405300340974</v>
      </c>
      <c r="P17">
        <v>2032.59</v>
      </c>
      <c r="Q17">
        <v>2100</v>
      </c>
      <c r="R17">
        <v>19.231324999999998</v>
      </c>
      <c r="S17">
        <v>25</v>
      </c>
      <c r="T17">
        <v>3.7786978171356718</v>
      </c>
      <c r="U17">
        <v>13.648658527670152</v>
      </c>
      <c r="V17">
        <v>2.9609929078014185</v>
      </c>
      <c r="W17">
        <v>9.323834938528579</v>
      </c>
      <c r="X17">
        <v>2.9609929078014185</v>
      </c>
      <c r="Y17">
        <v>92.342500000000001</v>
      </c>
      <c r="Z17">
        <v>8.67</v>
      </c>
    </row>
    <row r="18" spans="1:26" x14ac:dyDescent="0.3">
      <c r="A18">
        <v>12</v>
      </c>
      <c r="B18">
        <v>2025</v>
      </c>
      <c r="C18" t="s">
        <v>8</v>
      </c>
      <c r="D18">
        <v>3672020</v>
      </c>
      <c r="E18" t="s">
        <v>28</v>
      </c>
      <c r="F18">
        <v>3672020012</v>
      </c>
      <c r="G18">
        <v>8171</v>
      </c>
      <c r="H18">
        <v>7941</v>
      </c>
      <c r="I18">
        <f t="shared" si="0"/>
        <v>16112</v>
      </c>
      <c r="J18" s="1">
        <v>515.78156890000002</v>
      </c>
      <c r="K18" s="1">
        <v>0.28259087182290243</v>
      </c>
      <c r="L18">
        <v>3.7</v>
      </c>
      <c r="M18">
        <v>3.1</v>
      </c>
      <c r="N18">
        <v>27.9</v>
      </c>
      <c r="O18">
        <v>18.173783450834815</v>
      </c>
      <c r="P18">
        <v>2022.93</v>
      </c>
      <c r="Q18">
        <v>2100</v>
      </c>
      <c r="R18">
        <v>19.356549999999999</v>
      </c>
      <c r="S18">
        <v>25</v>
      </c>
      <c r="T18">
        <v>4.4507916682279367</v>
      </c>
      <c r="U18">
        <v>13.548907646474678</v>
      </c>
      <c r="V18">
        <v>2.4255024255024256</v>
      </c>
      <c r="W18">
        <v>9.6053733935005692</v>
      </c>
      <c r="X18">
        <v>2.4255024255024256</v>
      </c>
      <c r="Y18">
        <v>92.198099999999997</v>
      </c>
      <c r="Z18">
        <v>5.89</v>
      </c>
    </row>
    <row r="19" spans="1:26" x14ac:dyDescent="0.3">
      <c r="A19">
        <v>13</v>
      </c>
      <c r="B19">
        <v>2025</v>
      </c>
      <c r="C19" t="s">
        <v>8</v>
      </c>
      <c r="D19">
        <v>3672020</v>
      </c>
      <c r="E19" t="s">
        <v>29</v>
      </c>
      <c r="F19">
        <v>3672020013</v>
      </c>
      <c r="G19">
        <v>7069</v>
      </c>
      <c r="H19">
        <v>7134</v>
      </c>
      <c r="I19">
        <f t="shared" si="0"/>
        <v>14203</v>
      </c>
      <c r="J19" s="1">
        <v>767.30834960000004</v>
      </c>
      <c r="K19" s="1">
        <v>8.5799398742825908</v>
      </c>
      <c r="L19">
        <v>112.2</v>
      </c>
      <c r="M19">
        <v>4.5999999999999996</v>
      </c>
      <c r="N19">
        <v>41.5</v>
      </c>
      <c r="O19">
        <v>27.036436791233029</v>
      </c>
      <c r="P19">
        <v>2048.9699999999998</v>
      </c>
      <c r="Q19">
        <v>2100</v>
      </c>
      <c r="R19">
        <v>19.629974999999998</v>
      </c>
      <c r="S19">
        <v>25</v>
      </c>
      <c r="T19">
        <v>3.9234479930388151</v>
      </c>
      <c r="U19">
        <v>10.723086671829895</v>
      </c>
      <c r="V19">
        <v>2.1960114844416854</v>
      </c>
      <c r="W19">
        <v>9.5328945612113269</v>
      </c>
      <c r="X19">
        <v>2.1960114844416854</v>
      </c>
      <c r="Y19">
        <v>92.744500000000002</v>
      </c>
      <c r="Z19">
        <v>5.46</v>
      </c>
    </row>
    <row r="20" spans="1:26" x14ac:dyDescent="0.3">
      <c r="A20">
        <v>15</v>
      </c>
      <c r="B20">
        <v>2025</v>
      </c>
      <c r="C20" t="s">
        <v>8</v>
      </c>
      <c r="D20">
        <v>3672020</v>
      </c>
      <c r="E20" t="s">
        <v>30</v>
      </c>
      <c r="F20">
        <v>3672020014</v>
      </c>
      <c r="G20">
        <v>3649</v>
      </c>
      <c r="H20">
        <v>3657</v>
      </c>
      <c r="I20">
        <f t="shared" si="0"/>
        <v>7306</v>
      </c>
      <c r="J20" s="1">
        <v>693.91453530000001</v>
      </c>
      <c r="K20" s="1">
        <v>0</v>
      </c>
      <c r="L20">
        <v>0</v>
      </c>
      <c r="M20">
        <v>4.0999999999999996</v>
      </c>
      <c r="N20">
        <v>37.6</v>
      </c>
      <c r="O20">
        <v>24.450374457591192</v>
      </c>
      <c r="P20">
        <v>2039.94</v>
      </c>
      <c r="Q20">
        <v>2100</v>
      </c>
      <c r="R20">
        <v>18.533225000000002</v>
      </c>
      <c r="S20">
        <v>25</v>
      </c>
      <c r="T20">
        <v>2.0182152388327523</v>
      </c>
      <c r="U20">
        <v>7.6512455516014235</v>
      </c>
      <c r="V20">
        <v>2.1270266250185932</v>
      </c>
      <c r="W20">
        <v>8.6384698598998195</v>
      </c>
      <c r="X20">
        <v>2.1270266250185932</v>
      </c>
      <c r="Y20">
        <v>92.555700000000002</v>
      </c>
      <c r="Z20">
        <v>8.36</v>
      </c>
    </row>
    <row r="21" spans="1:26" x14ac:dyDescent="0.3">
      <c r="A21">
        <v>31</v>
      </c>
      <c r="B21">
        <v>2025</v>
      </c>
      <c r="C21" t="s">
        <v>9</v>
      </c>
      <c r="D21">
        <v>3672021</v>
      </c>
      <c r="E21" t="s">
        <v>31</v>
      </c>
      <c r="F21">
        <v>3672021001</v>
      </c>
      <c r="G21">
        <v>1051</v>
      </c>
      <c r="H21">
        <v>1049</v>
      </c>
      <c r="I21">
        <f t="shared" si="0"/>
        <v>2100</v>
      </c>
      <c r="J21" s="1">
        <v>210.80275869999997</v>
      </c>
      <c r="K21" s="1">
        <v>1.0281804505892045</v>
      </c>
      <c r="L21">
        <v>0</v>
      </c>
      <c r="M21">
        <v>0</v>
      </c>
      <c r="N21">
        <v>0</v>
      </c>
      <c r="O21">
        <v>0</v>
      </c>
      <c r="P21">
        <v>2012.22</v>
      </c>
      <c r="Q21">
        <v>2100</v>
      </c>
      <c r="R21">
        <v>20.244250000000001</v>
      </c>
      <c r="S21">
        <v>25</v>
      </c>
      <c r="T21">
        <v>0.58010566678740483</v>
      </c>
      <c r="U21">
        <v>5.0952380952380949</v>
      </c>
      <c r="V21">
        <v>2.6123936816524909</v>
      </c>
      <c r="W21">
        <v>10.698272269417703</v>
      </c>
      <c r="X21">
        <v>2.6123936816524909</v>
      </c>
      <c r="Y21">
        <v>91.763000000000005</v>
      </c>
      <c r="Z21">
        <v>4.46</v>
      </c>
    </row>
    <row r="22" spans="1:26" x14ac:dyDescent="0.3">
      <c r="A22">
        <v>33</v>
      </c>
      <c r="B22">
        <v>2025</v>
      </c>
      <c r="C22" t="s">
        <v>9</v>
      </c>
      <c r="D22">
        <v>3672021</v>
      </c>
      <c r="E22" t="s">
        <v>32</v>
      </c>
      <c r="F22">
        <v>3672021002</v>
      </c>
      <c r="G22">
        <v>8041</v>
      </c>
      <c r="H22">
        <v>7955</v>
      </c>
      <c r="I22">
        <f t="shared" si="0"/>
        <v>15996</v>
      </c>
      <c r="J22" s="1">
        <v>252.51149589999997</v>
      </c>
      <c r="K22" s="1">
        <v>13.83534044915649</v>
      </c>
      <c r="L22">
        <v>34.58</v>
      </c>
      <c r="M22">
        <v>0</v>
      </c>
      <c r="N22">
        <v>0</v>
      </c>
      <c r="O22">
        <v>0</v>
      </c>
      <c r="P22">
        <v>2088.87</v>
      </c>
      <c r="Q22">
        <v>2100</v>
      </c>
      <c r="R22">
        <v>22.243825000000001</v>
      </c>
      <c r="S22">
        <v>25</v>
      </c>
      <c r="T22">
        <v>4.4187477361577754</v>
      </c>
      <c r="U22">
        <v>4.0385096274068522</v>
      </c>
      <c r="V22">
        <v>1.950985761226725</v>
      </c>
      <c r="W22">
        <v>11.487690081685317</v>
      </c>
      <c r="X22">
        <v>1.950985761226725</v>
      </c>
      <c r="Y22">
        <v>93.203000000000003</v>
      </c>
      <c r="Z22">
        <v>3.14</v>
      </c>
    </row>
    <row r="23" spans="1:26" x14ac:dyDescent="0.3">
      <c r="A23">
        <v>34</v>
      </c>
      <c r="B23">
        <v>2025</v>
      </c>
      <c r="C23" t="s">
        <v>9</v>
      </c>
      <c r="D23">
        <v>3672021</v>
      </c>
      <c r="E23" t="s">
        <v>33</v>
      </c>
      <c r="F23">
        <v>3672021003</v>
      </c>
      <c r="G23">
        <v>3742</v>
      </c>
      <c r="H23">
        <v>3747</v>
      </c>
      <c r="I23">
        <f t="shared" si="0"/>
        <v>7489</v>
      </c>
      <c r="J23" s="1">
        <v>155.55385719999998</v>
      </c>
      <c r="K23" s="1">
        <v>43.069336652458901</v>
      </c>
      <c r="L23">
        <v>337.2</v>
      </c>
      <c r="M23">
        <v>0</v>
      </c>
      <c r="N23">
        <v>6</v>
      </c>
      <c r="O23">
        <v>6</v>
      </c>
      <c r="P23">
        <v>2070.81</v>
      </c>
      <c r="Q23">
        <v>2100</v>
      </c>
      <c r="R23">
        <v>20.071149999999999</v>
      </c>
      <c r="S23">
        <v>25</v>
      </c>
      <c r="T23">
        <v>2.0687673040813692</v>
      </c>
      <c r="U23">
        <v>5.2744024569368406</v>
      </c>
      <c r="V23">
        <v>2.0081449234658053</v>
      </c>
      <c r="W23">
        <v>10.455674887869382</v>
      </c>
      <c r="X23">
        <v>2.0081449234658053</v>
      </c>
      <c r="Y23">
        <v>93.223799999999997</v>
      </c>
      <c r="Z23">
        <v>5.0599999999999996</v>
      </c>
    </row>
    <row r="24" spans="1:26" x14ac:dyDescent="0.3">
      <c r="A24">
        <v>35</v>
      </c>
      <c r="B24">
        <v>2025</v>
      </c>
      <c r="C24" t="s">
        <v>9</v>
      </c>
      <c r="D24">
        <v>3672021</v>
      </c>
      <c r="E24" t="s">
        <v>34</v>
      </c>
      <c r="F24">
        <v>3672021004</v>
      </c>
      <c r="G24">
        <v>3015</v>
      </c>
      <c r="H24">
        <v>2901</v>
      </c>
      <c r="I24">
        <f t="shared" si="0"/>
        <v>5916</v>
      </c>
      <c r="J24" s="1">
        <v>286.2722569</v>
      </c>
      <c r="K24" s="1">
        <v>52.328973458934776</v>
      </c>
      <c r="L24">
        <v>518.77</v>
      </c>
      <c r="M24">
        <v>4.9000000000000004</v>
      </c>
      <c r="N24">
        <v>12</v>
      </c>
      <c r="O24">
        <v>9</v>
      </c>
      <c r="P24">
        <v>2062.83</v>
      </c>
      <c r="Q24">
        <v>2100</v>
      </c>
      <c r="R24">
        <v>19.402150000000002</v>
      </c>
      <c r="S24">
        <v>25</v>
      </c>
      <c r="T24">
        <v>1.6342405355782319</v>
      </c>
      <c r="U24">
        <v>7.0824881676808653</v>
      </c>
      <c r="V24">
        <v>2.0921985815602837</v>
      </c>
      <c r="W24">
        <v>9.3238020476386705</v>
      </c>
      <c r="X24">
        <v>2.0921985815602837</v>
      </c>
      <c r="Y24">
        <v>93.045199999999994</v>
      </c>
      <c r="Z24">
        <v>3.96</v>
      </c>
    </row>
    <row r="25" spans="1:26" x14ac:dyDescent="0.3">
      <c r="A25">
        <v>36</v>
      </c>
      <c r="B25">
        <v>2025</v>
      </c>
      <c r="C25" t="s">
        <v>9</v>
      </c>
      <c r="D25">
        <v>3672021</v>
      </c>
      <c r="E25" t="s">
        <v>35</v>
      </c>
      <c r="F25">
        <v>3672021005</v>
      </c>
      <c r="G25">
        <v>2011</v>
      </c>
      <c r="H25">
        <v>1910</v>
      </c>
      <c r="I25">
        <f t="shared" si="0"/>
        <v>3921</v>
      </c>
      <c r="J25" s="1">
        <v>420.42444409999996</v>
      </c>
      <c r="K25" s="1">
        <v>42.991170887209428</v>
      </c>
      <c r="L25">
        <v>389.08</v>
      </c>
      <c r="M25">
        <v>0</v>
      </c>
      <c r="N25">
        <v>6</v>
      </c>
      <c r="O25">
        <v>6</v>
      </c>
      <c r="P25">
        <v>2047.71</v>
      </c>
      <c r="Q25">
        <v>2100</v>
      </c>
      <c r="R25">
        <v>19.641849999999998</v>
      </c>
      <c r="S25">
        <v>25</v>
      </c>
      <c r="T25">
        <v>1.0831401521301973</v>
      </c>
      <c r="U25">
        <v>8.7477684264218318</v>
      </c>
      <c r="V25">
        <v>2.3501452336942172</v>
      </c>
      <c r="W25">
        <v>9.5149891651946543</v>
      </c>
      <c r="X25">
        <v>2.3501452336942172</v>
      </c>
      <c r="Y25">
        <v>92.822000000000003</v>
      </c>
      <c r="Z25">
        <v>3.1</v>
      </c>
    </row>
    <row r="26" spans="1:26" x14ac:dyDescent="0.3">
      <c r="A26">
        <v>32</v>
      </c>
      <c r="B26">
        <v>2025</v>
      </c>
      <c r="C26" t="s">
        <v>9</v>
      </c>
      <c r="D26">
        <v>3672021</v>
      </c>
      <c r="E26" t="s">
        <v>36</v>
      </c>
      <c r="F26">
        <v>3672021006</v>
      </c>
      <c r="G26">
        <v>4685</v>
      </c>
      <c r="H26">
        <v>4593</v>
      </c>
      <c r="I26">
        <f t="shared" si="0"/>
        <v>9278</v>
      </c>
      <c r="J26" s="1">
        <v>403.56950169999999</v>
      </c>
      <c r="K26" s="1">
        <v>14.616998101651205</v>
      </c>
      <c r="L26">
        <v>5.76</v>
      </c>
      <c r="M26">
        <v>0</v>
      </c>
      <c r="N26">
        <v>0</v>
      </c>
      <c r="O26">
        <v>0</v>
      </c>
      <c r="P26">
        <v>2054.4299999999998</v>
      </c>
      <c r="Q26">
        <v>2100</v>
      </c>
      <c r="R26">
        <v>23.690725</v>
      </c>
      <c r="S26">
        <v>25</v>
      </c>
      <c r="T26">
        <v>2.5629620840254965</v>
      </c>
      <c r="U26">
        <v>3.1903427462815261</v>
      </c>
      <c r="V26">
        <v>2.1239145740436518</v>
      </c>
      <c r="W26">
        <v>11.735517373964749</v>
      </c>
      <c r="X26">
        <v>2.1239145740436518</v>
      </c>
      <c r="Y26">
        <v>91.845500000000001</v>
      </c>
      <c r="Z26">
        <v>3.51</v>
      </c>
    </row>
    <row r="27" spans="1:26" x14ac:dyDescent="0.3">
      <c r="A27">
        <v>27</v>
      </c>
      <c r="B27">
        <v>2025</v>
      </c>
      <c r="C27" t="s">
        <v>10</v>
      </c>
      <c r="D27">
        <v>3672022</v>
      </c>
      <c r="E27" t="s">
        <v>37</v>
      </c>
      <c r="F27">
        <v>3672022007</v>
      </c>
      <c r="G27">
        <v>4852</v>
      </c>
      <c r="H27">
        <v>4780</v>
      </c>
      <c r="I27">
        <f t="shared" si="0"/>
        <v>9632</v>
      </c>
      <c r="J27" s="1">
        <v>317.33827809999997</v>
      </c>
      <c r="K27" s="1">
        <v>3.1876011574868803</v>
      </c>
      <c r="L27">
        <v>23</v>
      </c>
      <c r="M27">
        <v>3.7</v>
      </c>
      <c r="N27">
        <v>31</v>
      </c>
      <c r="O27">
        <v>2.7140822132008671</v>
      </c>
      <c r="P27">
        <v>1990.17</v>
      </c>
      <c r="Q27">
        <v>2100</v>
      </c>
      <c r="R27">
        <v>21.949024999999999</v>
      </c>
      <c r="S27">
        <v>25</v>
      </c>
      <c r="T27">
        <v>2.6607513249982304</v>
      </c>
      <c r="U27">
        <v>3.2495847176079735</v>
      </c>
      <c r="V27">
        <v>1.7828200972447326</v>
      </c>
      <c r="W27">
        <v>12.294960419604474</v>
      </c>
      <c r="X27">
        <v>1.7828200972447326</v>
      </c>
      <c r="Y27">
        <v>90.3566</v>
      </c>
      <c r="Z27">
        <v>2.7</v>
      </c>
    </row>
    <row r="28" spans="1:26" x14ac:dyDescent="0.3">
      <c r="A28">
        <v>28</v>
      </c>
      <c r="B28">
        <v>2025</v>
      </c>
      <c r="C28" t="s">
        <v>10</v>
      </c>
      <c r="D28">
        <v>3672022</v>
      </c>
      <c r="E28" t="s">
        <v>38</v>
      </c>
      <c r="F28">
        <v>3672022008</v>
      </c>
      <c r="G28">
        <v>2557</v>
      </c>
      <c r="H28">
        <v>2483</v>
      </c>
      <c r="I28">
        <f t="shared" si="0"/>
        <v>5040</v>
      </c>
      <c r="J28" s="1">
        <v>384.48868620000002</v>
      </c>
      <c r="K28" s="1">
        <v>24.002636715876207</v>
      </c>
      <c r="L28">
        <v>173.4</v>
      </c>
      <c r="M28">
        <v>4.5</v>
      </c>
      <c r="N28">
        <v>37.6</v>
      </c>
      <c r="O28">
        <v>3.288395937106428</v>
      </c>
      <c r="P28">
        <v>2049.81</v>
      </c>
      <c r="Q28">
        <v>2100</v>
      </c>
      <c r="R28">
        <v>18.944974999999999</v>
      </c>
      <c r="S28">
        <v>25</v>
      </c>
      <c r="T28">
        <v>1.3922536002897716</v>
      </c>
      <c r="U28">
        <v>10.257936507936508</v>
      </c>
      <c r="V28">
        <v>2.6248548199767714</v>
      </c>
      <c r="W28">
        <v>9.253358103883313</v>
      </c>
      <c r="X28">
        <v>2.6248548199767714</v>
      </c>
      <c r="Y28">
        <v>92.749899999999997</v>
      </c>
      <c r="Z28">
        <v>5.74</v>
      </c>
    </row>
    <row r="29" spans="1:26" x14ac:dyDescent="0.3">
      <c r="A29">
        <v>29</v>
      </c>
      <c r="B29">
        <v>2025</v>
      </c>
      <c r="C29" t="s">
        <v>10</v>
      </c>
      <c r="D29">
        <v>3672022</v>
      </c>
      <c r="E29" t="s">
        <v>39</v>
      </c>
      <c r="F29">
        <v>3672022009</v>
      </c>
      <c r="G29">
        <v>8375</v>
      </c>
      <c r="H29">
        <v>8110</v>
      </c>
      <c r="I29">
        <f t="shared" si="0"/>
        <v>16485</v>
      </c>
      <c r="J29" s="1">
        <v>560.95178899999996</v>
      </c>
      <c r="K29" s="1">
        <v>62.933872185982636</v>
      </c>
      <c r="L29">
        <v>454.6</v>
      </c>
      <c r="M29">
        <v>6.6</v>
      </c>
      <c r="N29">
        <v>54.8</v>
      </c>
      <c r="O29">
        <v>4.7976225310844587</v>
      </c>
      <c r="P29">
        <v>2060.1</v>
      </c>
      <c r="Q29">
        <v>2100</v>
      </c>
      <c r="R29">
        <v>20.404499999999999</v>
      </c>
      <c r="S29">
        <v>25</v>
      </c>
      <c r="T29">
        <v>4.5538294842811284</v>
      </c>
      <c r="U29">
        <v>6.1753108886866848</v>
      </c>
      <c r="V29">
        <v>2.0197457572433373</v>
      </c>
      <c r="W29">
        <v>10.874107541017313</v>
      </c>
      <c r="X29">
        <v>2.0197457572433373</v>
      </c>
      <c r="Y29">
        <v>93.0381</v>
      </c>
      <c r="Z29">
        <v>1.69</v>
      </c>
    </row>
    <row r="30" spans="1:26" x14ac:dyDescent="0.3">
      <c r="A30">
        <v>30</v>
      </c>
      <c r="B30">
        <v>2025</v>
      </c>
      <c r="C30" t="s">
        <v>10</v>
      </c>
      <c r="D30">
        <v>3672022</v>
      </c>
      <c r="E30" t="s">
        <v>40</v>
      </c>
      <c r="F30">
        <v>3672022010</v>
      </c>
      <c r="G30">
        <v>8048</v>
      </c>
      <c r="H30">
        <v>7705</v>
      </c>
      <c r="I30">
        <f t="shared" si="0"/>
        <v>15753</v>
      </c>
      <c r="J30" s="1">
        <v>1192.6014881999999</v>
      </c>
      <c r="K30" s="1">
        <v>18.195889940654276</v>
      </c>
      <c r="L30">
        <v>131.4</v>
      </c>
      <c r="M30">
        <v>14</v>
      </c>
      <c r="N30">
        <v>116.6</v>
      </c>
      <c r="O30">
        <v>10.199899318608246</v>
      </c>
      <c r="P30">
        <v>2023.3500000000001</v>
      </c>
      <c r="Q30">
        <v>2100</v>
      </c>
      <c r="R30">
        <v>19.246400000000001</v>
      </c>
      <c r="S30">
        <v>25</v>
      </c>
      <c r="T30">
        <v>4.3516212232866609</v>
      </c>
      <c r="U30">
        <v>10.156795531009967</v>
      </c>
      <c r="V30">
        <v>2.1975707365021413</v>
      </c>
      <c r="W30">
        <v>9.6493531607085892</v>
      </c>
      <c r="X30">
        <v>2.1975707365021413</v>
      </c>
      <c r="Y30">
        <v>92.060699999999997</v>
      </c>
      <c r="Z30">
        <v>4.1100000000000003</v>
      </c>
    </row>
    <row r="31" spans="1:26" x14ac:dyDescent="0.3">
      <c r="A31">
        <v>7</v>
      </c>
      <c r="B31">
        <v>2025</v>
      </c>
      <c r="C31" t="s">
        <v>11</v>
      </c>
      <c r="D31">
        <v>3672030</v>
      </c>
      <c r="E31" t="s">
        <v>41</v>
      </c>
      <c r="F31">
        <v>3672030001</v>
      </c>
      <c r="G31">
        <v>4533</v>
      </c>
      <c r="H31">
        <v>4362</v>
      </c>
      <c r="I31">
        <f t="shared" si="0"/>
        <v>8895</v>
      </c>
      <c r="J31" s="1">
        <v>436.77640099999996</v>
      </c>
      <c r="K31" s="1">
        <v>19.040278468423672</v>
      </c>
      <c r="L31">
        <v>222.1</v>
      </c>
      <c r="M31">
        <v>2</v>
      </c>
      <c r="N31">
        <v>3.3</v>
      </c>
      <c r="O31">
        <v>3.4272501243162607</v>
      </c>
      <c r="P31">
        <v>2018.94</v>
      </c>
      <c r="Q31">
        <v>2100</v>
      </c>
      <c r="R31">
        <v>18.12555</v>
      </c>
      <c r="S31">
        <v>25</v>
      </c>
      <c r="T31">
        <v>2.4571618600352219</v>
      </c>
      <c r="U31">
        <v>12.186621697582911</v>
      </c>
      <c r="V31">
        <v>2.7402780576264356</v>
      </c>
      <c r="W31">
        <v>9.3361363493644163</v>
      </c>
      <c r="X31">
        <v>2.7402780576264356</v>
      </c>
      <c r="Y31">
        <v>92.030799999999999</v>
      </c>
      <c r="Z31">
        <v>4</v>
      </c>
    </row>
    <row r="32" spans="1:26" x14ac:dyDescent="0.3">
      <c r="A32">
        <v>8</v>
      </c>
      <c r="B32">
        <v>2025</v>
      </c>
      <c r="C32" t="s">
        <v>11</v>
      </c>
      <c r="D32">
        <v>3672030</v>
      </c>
      <c r="E32" t="s">
        <v>42</v>
      </c>
      <c r="F32">
        <v>3672030002</v>
      </c>
      <c r="G32">
        <v>7120</v>
      </c>
      <c r="H32">
        <v>7078</v>
      </c>
      <c r="I32">
        <f t="shared" si="0"/>
        <v>14198</v>
      </c>
      <c r="J32" s="1">
        <v>166.2613599</v>
      </c>
      <c r="K32" s="1">
        <v>6.4395822973644954</v>
      </c>
      <c r="L32">
        <v>75.099999999999994</v>
      </c>
      <c r="M32">
        <v>0.7</v>
      </c>
      <c r="N32">
        <v>1.1000000000000001</v>
      </c>
      <c r="O32">
        <v>1.1591248135256089</v>
      </c>
      <c r="P32">
        <v>2077.5299999999997</v>
      </c>
      <c r="Q32">
        <v>2100</v>
      </c>
      <c r="R32">
        <v>22.159624999999998</v>
      </c>
      <c r="S32">
        <v>25</v>
      </c>
      <c r="T32">
        <v>3.9220667890702736</v>
      </c>
      <c r="U32">
        <v>4.063952669390055</v>
      </c>
      <c r="V32">
        <v>1.7263769001604157</v>
      </c>
      <c r="W32">
        <v>12.039951264670243</v>
      </c>
      <c r="X32">
        <v>1.7263769001604157</v>
      </c>
      <c r="Y32">
        <v>93.371200000000002</v>
      </c>
      <c r="Z32">
        <v>1.64</v>
      </c>
    </row>
    <row r="33" spans="1:26" x14ac:dyDescent="0.3">
      <c r="A33">
        <v>9</v>
      </c>
      <c r="B33">
        <v>2025</v>
      </c>
      <c r="C33" t="s">
        <v>11</v>
      </c>
      <c r="D33">
        <v>3672030</v>
      </c>
      <c r="E33" t="s">
        <v>43</v>
      </c>
      <c r="F33">
        <v>3672030003</v>
      </c>
      <c r="G33">
        <v>5519</v>
      </c>
      <c r="H33">
        <v>5461</v>
      </c>
      <c r="I33">
        <f t="shared" si="0"/>
        <v>10980</v>
      </c>
      <c r="J33" s="1">
        <v>86.078351400000003</v>
      </c>
      <c r="K33" s="1">
        <v>0.60914967677772258</v>
      </c>
      <c r="L33">
        <v>7.1</v>
      </c>
      <c r="M33">
        <v>0.1</v>
      </c>
      <c r="N33">
        <v>0.1</v>
      </c>
      <c r="O33">
        <v>0.10964694181999007</v>
      </c>
      <c r="P33">
        <v>2068.92</v>
      </c>
      <c r="Q33">
        <v>2100</v>
      </c>
      <c r="R33">
        <v>21.012249999999998</v>
      </c>
      <c r="S33">
        <v>25</v>
      </c>
      <c r="T33">
        <v>3.0331239149170024</v>
      </c>
      <c r="U33">
        <v>9.8269581056466304</v>
      </c>
      <c r="V33">
        <v>2.2727272727272729</v>
      </c>
      <c r="W33">
        <v>11.083504861175074</v>
      </c>
      <c r="X33">
        <v>2.2727272727272729</v>
      </c>
      <c r="Y33">
        <v>93.125100000000003</v>
      </c>
      <c r="Z33">
        <v>3.93</v>
      </c>
    </row>
    <row r="34" spans="1:26" x14ac:dyDescent="0.3">
      <c r="A34">
        <v>11</v>
      </c>
      <c r="B34">
        <v>2025</v>
      </c>
      <c r="C34" t="s">
        <v>11</v>
      </c>
      <c r="D34">
        <v>3672030</v>
      </c>
      <c r="E34" t="s">
        <v>44</v>
      </c>
      <c r="F34">
        <v>3672030004</v>
      </c>
      <c r="G34">
        <v>6399</v>
      </c>
      <c r="H34">
        <v>6395</v>
      </c>
      <c r="I34">
        <f t="shared" si="0"/>
        <v>12794</v>
      </c>
      <c r="J34" s="1">
        <v>114.87254110000001</v>
      </c>
      <c r="K34" s="1">
        <v>4.7571689043593564</v>
      </c>
      <c r="L34">
        <v>55.5</v>
      </c>
      <c r="M34">
        <v>0.5</v>
      </c>
      <c r="N34">
        <v>0.8</v>
      </c>
      <c r="O34">
        <v>0.85629040278468416</v>
      </c>
      <c r="P34">
        <v>2072.2800000000002</v>
      </c>
      <c r="Q34">
        <v>2100</v>
      </c>
      <c r="R34">
        <v>22.513874999999999</v>
      </c>
      <c r="S34">
        <v>25</v>
      </c>
      <c r="T34">
        <v>3.534224714703837</v>
      </c>
      <c r="U34">
        <v>4.8069407534781927</v>
      </c>
      <c r="V34">
        <v>1.8456181079512479</v>
      </c>
      <c r="W34">
        <v>12.235597989154984</v>
      </c>
      <c r="X34">
        <v>1.8456181079512479</v>
      </c>
      <c r="Y34">
        <v>93.244200000000006</v>
      </c>
      <c r="Z34">
        <v>3.01</v>
      </c>
    </row>
    <row r="35" spans="1:26" x14ac:dyDescent="0.3">
      <c r="A35">
        <v>10</v>
      </c>
      <c r="B35">
        <v>2025</v>
      </c>
      <c r="C35" t="s">
        <v>11</v>
      </c>
      <c r="D35">
        <v>3672030</v>
      </c>
      <c r="E35" t="s">
        <v>45</v>
      </c>
      <c r="F35">
        <v>3672030005</v>
      </c>
      <c r="G35">
        <v>3977</v>
      </c>
      <c r="H35">
        <v>3867</v>
      </c>
      <c r="I35">
        <f t="shared" si="0"/>
        <v>7844</v>
      </c>
      <c r="J35" s="1">
        <v>88.349058499999998</v>
      </c>
      <c r="K35" s="1">
        <v>4.1538206530747557</v>
      </c>
      <c r="L35">
        <v>48.5</v>
      </c>
      <c r="M35">
        <v>0.4</v>
      </c>
      <c r="N35">
        <v>0.7</v>
      </c>
      <c r="O35">
        <v>0.74768771755345598</v>
      </c>
      <c r="P35">
        <v>2040.15</v>
      </c>
      <c r="Q35">
        <v>2100</v>
      </c>
      <c r="R35">
        <v>19.73405</v>
      </c>
      <c r="S35">
        <v>25</v>
      </c>
      <c r="T35">
        <v>2.1668327858478111</v>
      </c>
      <c r="U35">
        <v>9.4977052524222341</v>
      </c>
      <c r="V35">
        <v>2.5806451612903225</v>
      </c>
      <c r="W35">
        <v>10.340425857943087</v>
      </c>
      <c r="X35">
        <v>2.5806451612903225</v>
      </c>
      <c r="Y35">
        <v>92.560199999999995</v>
      </c>
      <c r="Z35">
        <v>1.95</v>
      </c>
    </row>
    <row r="36" spans="1:26" x14ac:dyDescent="0.3">
      <c r="A36">
        <v>23</v>
      </c>
      <c r="B36">
        <v>2025</v>
      </c>
      <c r="C36" t="s">
        <v>12</v>
      </c>
      <c r="D36">
        <v>3672031</v>
      </c>
      <c r="E36" t="s">
        <v>46</v>
      </c>
      <c r="F36">
        <v>3672031001</v>
      </c>
      <c r="G36">
        <v>11289</v>
      </c>
      <c r="H36">
        <v>10976</v>
      </c>
      <c r="I36">
        <f t="shared" si="0"/>
        <v>22265</v>
      </c>
      <c r="J36" s="1">
        <v>141.73761049999999</v>
      </c>
      <c r="K36" s="1">
        <v>2.3600255674280612</v>
      </c>
      <c r="L36">
        <v>58</v>
      </c>
      <c r="M36">
        <v>0</v>
      </c>
      <c r="N36" t="s">
        <v>65</v>
      </c>
      <c r="O36">
        <v>0</v>
      </c>
      <c r="P36">
        <v>2051.0700000000002</v>
      </c>
      <c r="Q36">
        <v>2100</v>
      </c>
      <c r="R36">
        <v>20.493425000000002</v>
      </c>
      <c r="S36">
        <v>25</v>
      </c>
      <c r="T36">
        <v>6.1505012719150329</v>
      </c>
      <c r="U36">
        <v>7.644284751852684</v>
      </c>
      <c r="V36">
        <v>2.2113315802055942</v>
      </c>
      <c r="W36">
        <v>10.793501095118154</v>
      </c>
      <c r="X36">
        <v>2.2113315802055942</v>
      </c>
      <c r="Y36">
        <v>92.726100000000002</v>
      </c>
      <c r="Z36">
        <v>5.21</v>
      </c>
    </row>
    <row r="37" spans="1:26" x14ac:dyDescent="0.3">
      <c r="A37">
        <v>24</v>
      </c>
      <c r="B37">
        <v>2025</v>
      </c>
      <c r="C37" t="s">
        <v>12</v>
      </c>
      <c r="D37">
        <v>3672031</v>
      </c>
      <c r="E37" t="s">
        <v>47</v>
      </c>
      <c r="F37">
        <v>3672031002</v>
      </c>
      <c r="G37">
        <v>7957</v>
      </c>
      <c r="H37">
        <v>7841</v>
      </c>
      <c r="I37">
        <f t="shared" si="0"/>
        <v>15798</v>
      </c>
      <c r="J37" s="1">
        <v>181.12236380000002</v>
      </c>
      <c r="K37" s="1">
        <v>18.372556019199692</v>
      </c>
      <c r="L37">
        <v>94.44</v>
      </c>
      <c r="M37">
        <v>3.9166669999999999</v>
      </c>
      <c r="N37" t="s">
        <v>65</v>
      </c>
      <c r="O37">
        <v>0</v>
      </c>
      <c r="P37">
        <v>2035.11</v>
      </c>
      <c r="Q37">
        <v>2100</v>
      </c>
      <c r="R37">
        <v>20.031874999999999</v>
      </c>
      <c r="S37">
        <v>25</v>
      </c>
      <c r="T37">
        <v>4.3640520590035345</v>
      </c>
      <c r="U37">
        <v>8.5074060007595911</v>
      </c>
      <c r="V37">
        <v>2.1314754776850386</v>
      </c>
      <c r="W37">
        <v>10.742530449701212</v>
      </c>
      <c r="X37">
        <v>2.1314754776850386</v>
      </c>
      <c r="Y37">
        <v>92.464500000000001</v>
      </c>
      <c r="Z37">
        <v>5.84</v>
      </c>
    </row>
    <row r="38" spans="1:26" x14ac:dyDescent="0.3">
      <c r="A38">
        <v>25</v>
      </c>
      <c r="B38">
        <v>2025</v>
      </c>
      <c r="C38" t="s">
        <v>12</v>
      </c>
      <c r="D38">
        <v>3672031</v>
      </c>
      <c r="E38" t="s">
        <v>48</v>
      </c>
      <c r="F38">
        <v>3672031003</v>
      </c>
      <c r="G38">
        <v>5736</v>
      </c>
      <c r="H38">
        <v>5636</v>
      </c>
      <c r="I38">
        <f t="shared" si="0"/>
        <v>11372</v>
      </c>
      <c r="J38" s="1">
        <v>279.93254580000001</v>
      </c>
      <c r="K38" s="1">
        <v>71.438027931209149</v>
      </c>
      <c r="L38">
        <v>1180.5</v>
      </c>
      <c r="M38">
        <v>9.7916670000000003</v>
      </c>
      <c r="N38" t="s">
        <v>65</v>
      </c>
      <c r="O38">
        <v>0</v>
      </c>
      <c r="P38">
        <v>2045.82</v>
      </c>
      <c r="Q38">
        <v>2100</v>
      </c>
      <c r="R38">
        <v>20.580750000000002</v>
      </c>
      <c r="S38">
        <v>25</v>
      </c>
      <c r="T38">
        <v>3.1414103060506515</v>
      </c>
      <c r="U38">
        <v>6.1378825184664088</v>
      </c>
      <c r="V38">
        <v>2.7843986998916574</v>
      </c>
      <c r="W38">
        <v>10.706054618127419</v>
      </c>
      <c r="X38">
        <v>2.7843986998916574</v>
      </c>
      <c r="Y38">
        <v>92.689700000000002</v>
      </c>
      <c r="Z38">
        <v>4.1100000000000003</v>
      </c>
    </row>
    <row r="39" spans="1:26" x14ac:dyDescent="0.3">
      <c r="A39">
        <v>26</v>
      </c>
      <c r="B39">
        <v>2025</v>
      </c>
      <c r="C39" t="s">
        <v>12</v>
      </c>
      <c r="D39">
        <v>3672031</v>
      </c>
      <c r="E39" t="s">
        <v>49</v>
      </c>
      <c r="F39">
        <v>3672031004</v>
      </c>
      <c r="G39">
        <v>4615</v>
      </c>
      <c r="H39">
        <v>4423</v>
      </c>
      <c r="I39">
        <f t="shared" si="0"/>
        <v>9038</v>
      </c>
      <c r="J39" s="1">
        <v>226.78645789999999</v>
      </c>
      <c r="K39" s="1">
        <v>69.844875660290896</v>
      </c>
      <c r="L39">
        <v>666.98</v>
      </c>
      <c r="M39">
        <v>4.8958329999999997</v>
      </c>
      <c r="N39" t="s">
        <v>65</v>
      </c>
      <c r="O39">
        <v>0</v>
      </c>
      <c r="P39">
        <v>2039.31</v>
      </c>
      <c r="Q39">
        <v>2100</v>
      </c>
      <c r="R39">
        <v>19.960274999999999</v>
      </c>
      <c r="S39">
        <v>25</v>
      </c>
      <c r="T39">
        <v>2.496664293535507</v>
      </c>
      <c r="U39">
        <v>8.0438150033193185</v>
      </c>
      <c r="V39">
        <v>2.0802377414561661</v>
      </c>
      <c r="W39">
        <v>10.604248868220145</v>
      </c>
      <c r="X39">
        <v>2.0802377414561661</v>
      </c>
      <c r="Y39">
        <v>92.572599999999994</v>
      </c>
      <c r="Z39">
        <v>0.85</v>
      </c>
    </row>
    <row r="40" spans="1:26" x14ac:dyDescent="0.3">
      <c r="A40">
        <v>22</v>
      </c>
      <c r="B40">
        <v>2025</v>
      </c>
      <c r="C40" t="s">
        <v>12</v>
      </c>
      <c r="D40">
        <v>3672031</v>
      </c>
      <c r="E40" t="s">
        <v>50</v>
      </c>
      <c r="F40">
        <v>3672031005</v>
      </c>
      <c r="G40">
        <v>7417</v>
      </c>
      <c r="H40">
        <v>7156</v>
      </c>
      <c r="I40">
        <f t="shared" si="0"/>
        <v>14573</v>
      </c>
      <c r="J40" s="1">
        <v>258.39936970000002</v>
      </c>
      <c r="K40" s="1">
        <v>61.884514821872209</v>
      </c>
      <c r="L40">
        <v>661.08</v>
      </c>
      <c r="M40">
        <v>4.8958329999999997</v>
      </c>
      <c r="N40" t="s">
        <v>65</v>
      </c>
      <c r="O40">
        <v>0</v>
      </c>
      <c r="P40">
        <v>2036.58</v>
      </c>
      <c r="Q40">
        <v>2100</v>
      </c>
      <c r="R40">
        <v>20.180325</v>
      </c>
      <c r="S40">
        <v>25</v>
      </c>
      <c r="T40">
        <v>4.0256570867108818</v>
      </c>
      <c r="U40">
        <v>6.8551430728058733</v>
      </c>
      <c r="V40">
        <v>2.5653798256537983</v>
      </c>
      <c r="W40">
        <v>10.539871795279597</v>
      </c>
      <c r="X40">
        <v>2.5653798256537983</v>
      </c>
      <c r="Y40">
        <v>92.476500000000001</v>
      </c>
      <c r="Z40">
        <v>2.71</v>
      </c>
    </row>
    <row r="41" spans="1:26" x14ac:dyDescent="0.3">
      <c r="A41">
        <v>3</v>
      </c>
      <c r="B41">
        <v>2025</v>
      </c>
      <c r="C41" t="s">
        <v>13</v>
      </c>
      <c r="D41">
        <v>3672040</v>
      </c>
      <c r="E41" t="s">
        <v>51</v>
      </c>
      <c r="F41">
        <v>3672040001</v>
      </c>
      <c r="G41">
        <v>3354</v>
      </c>
      <c r="H41">
        <v>3187</v>
      </c>
      <c r="I41">
        <f t="shared" si="0"/>
        <v>6541</v>
      </c>
      <c r="J41" s="1">
        <v>345.80443879999996</v>
      </c>
      <c r="K41" s="1">
        <v>14.234311081880961</v>
      </c>
      <c r="L41">
        <v>115.89</v>
      </c>
      <c r="M41">
        <v>5.1333000000000002</v>
      </c>
      <c r="N41">
        <v>114.9474</v>
      </c>
      <c r="O41">
        <v>15.75</v>
      </c>
      <c r="P41">
        <v>2012.8500000000001</v>
      </c>
      <c r="Q41">
        <v>2100</v>
      </c>
      <c r="R41">
        <v>17.312350000000002</v>
      </c>
      <c r="S41">
        <v>25</v>
      </c>
      <c r="T41">
        <v>1.8068910316459119</v>
      </c>
      <c r="U41">
        <v>17.168628650053506</v>
      </c>
      <c r="V41">
        <v>2.7876520112254441</v>
      </c>
      <c r="W41">
        <v>8.1010234994159376</v>
      </c>
      <c r="X41">
        <v>2.7876520112254441</v>
      </c>
      <c r="Y41">
        <v>91.831900000000005</v>
      </c>
      <c r="Z41">
        <v>6.69</v>
      </c>
    </row>
    <row r="42" spans="1:26" x14ac:dyDescent="0.3">
      <c r="A42">
        <v>4</v>
      </c>
      <c r="B42">
        <v>2025</v>
      </c>
      <c r="C42" t="s">
        <v>13</v>
      </c>
      <c r="D42">
        <v>3672040</v>
      </c>
      <c r="E42" t="s">
        <v>52</v>
      </c>
      <c r="F42">
        <v>3672040002</v>
      </c>
      <c r="G42">
        <v>2257</v>
      </c>
      <c r="H42">
        <v>2241</v>
      </c>
      <c r="I42">
        <f t="shared" si="0"/>
        <v>4498</v>
      </c>
      <c r="J42" s="1">
        <v>321.07362030000002</v>
      </c>
      <c r="K42" s="1">
        <v>13.227027704702401</v>
      </c>
      <c r="L42">
        <v>139.07</v>
      </c>
      <c r="M42">
        <v>7.7</v>
      </c>
      <c r="N42">
        <v>65.684209999999993</v>
      </c>
      <c r="O42">
        <v>15.75</v>
      </c>
      <c r="P42">
        <v>1998.36</v>
      </c>
      <c r="Q42">
        <v>2100</v>
      </c>
      <c r="R42">
        <v>17.673725000000001</v>
      </c>
      <c r="S42">
        <v>25</v>
      </c>
      <c r="T42">
        <v>1.2425310900998796</v>
      </c>
      <c r="U42">
        <v>24.477545575811472</v>
      </c>
      <c r="V42">
        <v>2.6181818181818182</v>
      </c>
      <c r="W42">
        <v>8.482981853308738</v>
      </c>
      <c r="X42">
        <v>2.6181818181818182</v>
      </c>
      <c r="Y42">
        <v>91.520899999999997</v>
      </c>
      <c r="Z42">
        <v>8.82</v>
      </c>
    </row>
    <row r="43" spans="1:26" x14ac:dyDescent="0.3">
      <c r="A43">
        <v>5</v>
      </c>
      <c r="B43">
        <v>2025</v>
      </c>
      <c r="C43" t="s">
        <v>13</v>
      </c>
      <c r="D43">
        <v>3672040</v>
      </c>
      <c r="E43" t="s">
        <v>53</v>
      </c>
      <c r="F43">
        <v>3672040003</v>
      </c>
      <c r="G43">
        <v>4465</v>
      </c>
      <c r="H43">
        <v>4229</v>
      </c>
      <c r="I43">
        <f t="shared" si="0"/>
        <v>8694</v>
      </c>
      <c r="J43" s="1">
        <v>360.60508500000003</v>
      </c>
      <c r="K43" s="1">
        <v>9.7052121012824735</v>
      </c>
      <c r="L43">
        <v>185.42</v>
      </c>
      <c r="M43">
        <v>5.1333000000000002</v>
      </c>
      <c r="N43">
        <v>16.421050000000001</v>
      </c>
      <c r="O43">
        <v>10.5</v>
      </c>
      <c r="P43">
        <v>2044.56</v>
      </c>
      <c r="Q43">
        <v>2100</v>
      </c>
      <c r="R43">
        <v>19.458749999999998</v>
      </c>
      <c r="S43">
        <v>25</v>
      </c>
      <c r="T43">
        <v>2.401637460499856</v>
      </c>
      <c r="U43">
        <v>12.870945479641133</v>
      </c>
      <c r="V43">
        <v>2.3076923076923079</v>
      </c>
      <c r="W43">
        <v>9.8134806940198533</v>
      </c>
      <c r="X43">
        <v>2.3076923076923079</v>
      </c>
      <c r="Y43">
        <v>92.682400000000001</v>
      </c>
      <c r="Z43">
        <v>4.8600000000000003</v>
      </c>
    </row>
    <row r="44" spans="1:26" x14ac:dyDescent="0.3">
      <c r="A44">
        <v>6</v>
      </c>
      <c r="B44">
        <v>2025</v>
      </c>
      <c r="C44" t="s">
        <v>13</v>
      </c>
      <c r="D44">
        <v>3672040</v>
      </c>
      <c r="E44" t="s">
        <v>54</v>
      </c>
      <c r="F44">
        <v>3672040004</v>
      </c>
      <c r="G44">
        <v>6839</v>
      </c>
      <c r="H44">
        <v>6621</v>
      </c>
      <c r="I44">
        <f t="shared" si="0"/>
        <v>13460</v>
      </c>
      <c r="J44" s="1">
        <v>279.29760899999997</v>
      </c>
      <c r="K44" s="1">
        <v>17.785536418941138</v>
      </c>
      <c r="L44">
        <v>237.57</v>
      </c>
      <c r="M44">
        <v>5.1333000000000002</v>
      </c>
      <c r="N44">
        <v>16.421050000000001</v>
      </c>
      <c r="O44">
        <v>0</v>
      </c>
      <c r="P44">
        <v>2046.8700000000001</v>
      </c>
      <c r="Q44">
        <v>2100</v>
      </c>
      <c r="R44">
        <v>19.711774999999999</v>
      </c>
      <c r="S44">
        <v>25</v>
      </c>
      <c r="T44">
        <v>3.718201083313557</v>
      </c>
      <c r="U44">
        <v>14.531946508172364</v>
      </c>
      <c r="V44">
        <v>1.9868650760661732</v>
      </c>
      <c r="W44">
        <v>10.220961547320098</v>
      </c>
      <c r="X44">
        <v>1.9868650760661732</v>
      </c>
      <c r="Y44">
        <v>92.734099999999998</v>
      </c>
      <c r="Z44">
        <v>6.33</v>
      </c>
    </row>
    <row r="45" spans="1:26" x14ac:dyDescent="0.3">
      <c r="A45">
        <v>1</v>
      </c>
      <c r="B45">
        <v>2025</v>
      </c>
      <c r="C45" t="s">
        <v>13</v>
      </c>
      <c r="D45">
        <v>3672040</v>
      </c>
      <c r="E45" t="s">
        <v>55</v>
      </c>
      <c r="F45">
        <v>3672040005</v>
      </c>
      <c r="G45">
        <v>11761</v>
      </c>
      <c r="H45">
        <v>11570</v>
      </c>
      <c r="I45">
        <f t="shared" si="0"/>
        <v>23331</v>
      </c>
      <c r="J45" s="1">
        <v>239.03830109999998</v>
      </c>
      <c r="K45" s="1">
        <v>31.5492917625781</v>
      </c>
      <c r="L45">
        <v>602.62</v>
      </c>
      <c r="M45">
        <v>20.533300000000001</v>
      </c>
      <c r="N45">
        <v>65.684209999999993</v>
      </c>
      <c r="O45">
        <v>5.25</v>
      </c>
      <c r="P45">
        <v>2043.51</v>
      </c>
      <c r="Q45">
        <v>2100</v>
      </c>
      <c r="R45">
        <v>22.862950000000001</v>
      </c>
      <c r="S45">
        <v>25</v>
      </c>
      <c r="T45">
        <v>6.4449739580080676</v>
      </c>
      <c r="U45">
        <v>3.0731644593030731</v>
      </c>
      <c r="V45">
        <v>1.7980127227800853</v>
      </c>
      <c r="W45">
        <v>12.652677945230383</v>
      </c>
      <c r="X45">
        <v>1.7980127227800853</v>
      </c>
      <c r="Y45">
        <v>92.655500000000004</v>
      </c>
      <c r="Z45">
        <v>2.1800000000000002</v>
      </c>
    </row>
    <row r="46" spans="1:26" x14ac:dyDescent="0.3">
      <c r="A46">
        <v>2</v>
      </c>
      <c r="B46">
        <v>2025</v>
      </c>
      <c r="C46" t="s">
        <v>13</v>
      </c>
      <c r="D46">
        <v>3672040</v>
      </c>
      <c r="E46" t="s">
        <v>56</v>
      </c>
      <c r="F46">
        <v>3672040006</v>
      </c>
      <c r="G46">
        <v>5339</v>
      </c>
      <c r="H46">
        <v>5357</v>
      </c>
      <c r="I46">
        <f t="shared" si="0"/>
        <v>10696</v>
      </c>
      <c r="J46" s="1">
        <v>354.2437496</v>
      </c>
      <c r="K46" s="1">
        <v>92.368620930614938</v>
      </c>
      <c r="L46">
        <v>579.44000000000005</v>
      </c>
      <c r="M46">
        <v>10.26667</v>
      </c>
      <c r="N46">
        <v>32.842109999999998</v>
      </c>
      <c r="O46">
        <v>5.25</v>
      </c>
      <c r="P46">
        <v>2023.98</v>
      </c>
      <c r="Q46">
        <v>2100</v>
      </c>
      <c r="R46">
        <v>19.987075000000001</v>
      </c>
      <c r="S46">
        <v>25</v>
      </c>
      <c r="T46">
        <v>2.9546715295038486</v>
      </c>
      <c r="U46">
        <v>7.5168287210172036</v>
      </c>
      <c r="V46">
        <v>2.1241830065359477</v>
      </c>
      <c r="W46">
        <v>10.146488187743564</v>
      </c>
      <c r="X46">
        <v>2.1241830065359477</v>
      </c>
      <c r="Y46">
        <v>92.237899999999996</v>
      </c>
      <c r="Z46">
        <v>4.67</v>
      </c>
    </row>
  </sheetData>
  <pageMargins left="0.7" right="0.7" top="0.75" bottom="0.75" header="0.3" footer="0.3"/>
  <ignoredErrors>
    <ignoredError sqref="I4:I4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</dc:creator>
  <cp:lastModifiedBy>THINKPAD</cp:lastModifiedBy>
  <dcterms:created xsi:type="dcterms:W3CDTF">2015-06-05T18:17:20Z</dcterms:created>
  <dcterms:modified xsi:type="dcterms:W3CDTF">2026-05-26T06:45:56Z</dcterms:modified>
</cp:coreProperties>
</file>