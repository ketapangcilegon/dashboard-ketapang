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2ACD2C12-3853-42A7-AB2F-ACAE6A3E2641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Sheet1" sheetId="9" r:id="rId5"/>
    <sheet name="Sheet2" sheetId="10" state="hidden" r:id="rId6"/>
  </sheets>
  <definedNames>
    <definedName name="_xlnm._FilterDatabase" localSheetId="1" hidden="1">IA!$A$5:$AV$13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5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A2" i="3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V8" i="1" l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F14" i="3"/>
  <c r="G14" i="3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D14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I6" i="3"/>
  <c r="H6" i="3"/>
  <c r="AK6" i="2"/>
  <c r="AH6" i="2"/>
  <c r="AI6" i="2" s="1"/>
  <c r="AJ6" i="2" s="1"/>
  <c r="AE6" i="2"/>
  <c r="AB6" i="2"/>
  <c r="G5" i="2"/>
  <c r="F5" i="2"/>
  <c r="E5" i="2"/>
  <c r="D5" i="2"/>
  <c r="AN14" i="2" l="1"/>
  <c r="AK14" i="2"/>
  <c r="AH14" i="2"/>
  <c r="AE14" i="2"/>
  <c r="K5" i="2"/>
  <c r="H5" i="2"/>
  <c r="J5" i="2"/>
  <c r="I5" i="2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AR14" i="2"/>
  <c r="AS14" i="2" s="1"/>
  <c r="AB14" i="2"/>
  <c r="L10" i="3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I14" i="2"/>
  <c r="AJ14" i="2" s="1"/>
  <c r="AT12" i="2"/>
  <c r="AU12" i="2" s="1"/>
  <c r="AV12" i="2" s="1"/>
  <c r="E10" i="4" s="1"/>
  <c r="AT8" i="2"/>
  <c r="AU8" i="2" s="1"/>
  <c r="AV8" i="2" s="1"/>
  <c r="E6" i="4" s="1"/>
  <c r="AO14" i="2"/>
  <c r="AP14" i="2" s="1"/>
  <c r="AL14" i="2"/>
  <c r="AM14" i="2" s="1"/>
  <c r="AF14" i="2"/>
  <c r="AG14" i="2" s="1"/>
  <c r="AC14" i="2"/>
  <c r="AD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J6" i="3"/>
  <c r="K6" i="3" s="1"/>
  <c r="L6" i="3" s="1"/>
  <c r="M5" i="2" l="1"/>
  <c r="L5" i="2"/>
  <c r="N5" i="2"/>
  <c r="O5" i="2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P5" i="2"/>
  <c r="R5" i="2"/>
  <c r="Q5" i="2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T5" i="2"/>
  <c r="V5" i="2"/>
  <c r="W5" i="2"/>
  <c r="E552" i="10"/>
  <c r="F552" i="10" s="1"/>
  <c r="AA5" i="2" l="1"/>
  <c r="X5" i="2"/>
  <c r="Z5" i="2"/>
  <c r="Y5" i="2"/>
  <c r="AU6" i="2"/>
  <c r="Z6" i="1"/>
  <c r="D4" i="4" l="1"/>
  <c r="AV6" i="2"/>
  <c r="E4" i="4" l="1"/>
  <c r="G4" i="4" l="1"/>
  <c r="H4" i="4" s="1"/>
  <c r="I4" i="4" l="1"/>
</calcChain>
</file>

<file path=xl/sharedStrings.xml><?xml version="1.0" encoding="utf-8"?>
<sst xmlns="http://schemas.openxmlformats.org/spreadsheetml/2006/main" count="1216" uniqueCount="619">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</sst>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</numFmts>
  <fonts count="38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21" fillId="20" borderId="0" applyNumberFormat="0" applyBorder="0" applyAlignment="0" applyProtection="0"/>
    <xf numFmtId="0" fontId="12" fillId="6" borderId="0" applyNumberFormat="0" applyBorder="0" applyAlignment="0" applyProtection="0"/>
    <xf numFmtId="0" fontId="22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21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5" borderId="0" applyNumberFormat="0" applyBorder="0" applyAlignment="0" applyProtection="0"/>
    <xf numFmtId="0" fontId="21" fillId="19" borderId="0" applyNumberFormat="0" applyBorder="0" applyAlignment="0" applyProtection="0"/>
    <xf numFmtId="0" fontId="12" fillId="23" borderId="0" applyNumberFormat="0" applyBorder="0" applyAlignment="0" applyProtection="0"/>
    <xf numFmtId="0" fontId="21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1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1" borderId="0" applyNumberFormat="0" applyBorder="0" applyAlignment="0" applyProtection="0"/>
    <xf numFmtId="0" fontId="23" fillId="29" borderId="0" applyNumberFormat="0" applyBorder="0" applyAlignment="0" applyProtection="0"/>
    <xf numFmtId="0" fontId="12" fillId="20" borderId="0" applyNumberFormat="0" applyBorder="0" applyAlignment="0" applyProtection="0"/>
    <xf numFmtId="0" fontId="21" fillId="24" borderId="0" applyNumberFormat="0" applyBorder="0" applyAlignment="0" applyProtection="0"/>
    <xf numFmtId="0" fontId="12" fillId="24" borderId="0" applyNumberFormat="0" applyBorder="0" applyAlignment="0" applyProtection="0"/>
    <xf numFmtId="0" fontId="21" fillId="30" borderId="0" applyNumberFormat="0" applyBorder="0" applyAlignment="0" applyProtection="0"/>
    <xf numFmtId="0" fontId="12" fillId="30" borderId="0" applyNumberFormat="0" applyBorder="0" applyAlignment="0" applyProtection="0"/>
    <xf numFmtId="0" fontId="21" fillId="31" borderId="0" applyNumberFormat="0" applyBorder="0" applyAlignment="0" applyProtection="0"/>
    <xf numFmtId="0" fontId="12" fillId="31" borderId="0" applyNumberFormat="0" applyBorder="0" applyAlignment="0" applyProtection="0"/>
    <xf numFmtId="0" fontId="21" fillId="14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4" fillId="36" borderId="6" applyNumberFormat="0" applyAlignment="0" applyProtection="0"/>
    <xf numFmtId="0" fontId="12" fillId="0" borderId="0"/>
    <xf numFmtId="0" fontId="25" fillId="37" borderId="7" applyNumberFormat="0" applyAlignment="0" applyProtection="0"/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38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31" fillId="39" borderId="6" applyNumberFormat="0" applyAlignment="0" applyProtection="0"/>
    <xf numFmtId="0" fontId="32" fillId="0" borderId="9" applyNumberFormat="0" applyFill="0" applyAlignment="0" applyProtection="0"/>
    <xf numFmtId="0" fontId="12" fillId="0" borderId="0"/>
    <xf numFmtId="0" fontId="12" fillId="0" borderId="0"/>
    <xf numFmtId="0" fontId="33" fillId="40" borderId="0" applyNumberFormat="0" applyBorder="0" applyAlignment="0" applyProtection="0"/>
    <xf numFmtId="0" fontId="34" fillId="40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5" fillId="36" borderId="8" applyNumberFormat="0" applyAlignment="0" applyProtection="0"/>
    <xf numFmtId="0" fontId="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8" fontId="3" fillId="0" borderId="1" xfId="1" applyNumberFormat="1" applyFont="1" applyFill="1" applyBorder="1" applyAlignment="1">
      <alignment horizontal="center" vertical="center"/>
    </xf>
    <xf numFmtId="169" fontId="3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3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8" fillId="0" borderId="0" xfId="72" applyFont="1"/>
    <xf numFmtId="0" fontId="8" fillId="0" borderId="0" xfId="72" applyFont="1" applyAlignment="1">
      <alignment horizontal="center"/>
    </xf>
    <xf numFmtId="0" fontId="8" fillId="0" borderId="0" xfId="72" applyFont="1" applyAlignment="1">
      <alignment horizontal="center" vertical="center"/>
    </xf>
    <xf numFmtId="0" fontId="8" fillId="0" borderId="0" xfId="72" applyFont="1" applyAlignment="1">
      <alignment horizontal="center" vertical="center" wrapText="1"/>
    </xf>
    <xf numFmtId="0" fontId="8" fillId="0" borderId="1" xfId="72" applyFont="1" applyBorder="1" applyAlignment="1">
      <alignment horizontal="left"/>
    </xf>
    <xf numFmtId="166" fontId="8" fillId="0" borderId="1" xfId="72" applyNumberFormat="1" applyFont="1" applyBorder="1" applyAlignment="1">
      <alignment horizontal="center" vertical="center"/>
    </xf>
    <xf numFmtId="166" fontId="8" fillId="0" borderId="1" xfId="72" applyNumberFormat="1" applyFont="1" applyBorder="1" applyAlignment="1">
      <alignment horizontal="center" vertical="center" wrapText="1"/>
    </xf>
    <xf numFmtId="0" fontId="9" fillId="3" borderId="1" xfId="72" applyFont="1" applyFill="1" applyBorder="1" applyAlignment="1">
      <alignment horizontal="center" vertical="center"/>
    </xf>
    <xf numFmtId="0" fontId="9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1" fontId="13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7" fontId="9" fillId="5" borderId="1" xfId="0" applyNumberFormat="1" applyFont="1" applyFill="1" applyBorder="1" applyAlignment="1">
      <alignment horizontal="center" vertical="center"/>
    </xf>
    <xf numFmtId="17" fontId="9" fillId="6" borderId="1" xfId="0" applyNumberFormat="1" applyFont="1" applyFill="1" applyBorder="1" applyAlignment="1">
      <alignment horizontal="center" vertical="center"/>
    </xf>
    <xf numFmtId="171" fontId="15" fillId="0" borderId="1" xfId="1" applyNumberFormat="1" applyFont="1" applyFill="1" applyBorder="1" applyAlignment="1" applyProtection="1">
      <alignment horizontal="right"/>
      <protection locked="0"/>
    </xf>
    <xf numFmtId="171" fontId="16" fillId="0" borderId="1" xfId="2" applyNumberFormat="1" applyFont="1" applyFill="1" applyBorder="1" applyAlignment="1">
      <alignment horizontal="right" vertical="center"/>
    </xf>
    <xf numFmtId="17" fontId="9" fillId="6" borderId="1" xfId="0" applyNumberFormat="1" applyFont="1" applyFill="1" applyBorder="1" applyAlignment="1">
      <alignment horizontal="center" vertical="center" wrapText="1"/>
    </xf>
    <xf numFmtId="17" fontId="9" fillId="7" borderId="1" xfId="0" applyNumberFormat="1" applyFont="1" applyFill="1" applyBorder="1" applyAlignment="1">
      <alignment horizontal="center" vertical="center"/>
    </xf>
    <xf numFmtId="17" fontId="9" fillId="7" borderId="1" xfId="0" applyNumberFormat="1" applyFont="1" applyFill="1" applyBorder="1" applyAlignment="1">
      <alignment horizontal="center" vertical="center" wrapText="1"/>
    </xf>
    <xf numFmtId="17" fontId="17" fillId="8" borderId="1" xfId="0" applyNumberFormat="1" applyFont="1" applyFill="1" applyBorder="1" applyAlignment="1">
      <alignment horizontal="center" vertical="center"/>
    </xf>
    <xf numFmtId="17" fontId="17" fillId="8" borderId="1" xfId="0" applyNumberFormat="1" applyFont="1" applyFill="1" applyBorder="1" applyAlignment="1">
      <alignment horizontal="center" vertical="center" wrapText="1"/>
    </xf>
    <xf numFmtId="17" fontId="17" fillId="9" borderId="1" xfId="0" applyNumberFormat="1" applyFont="1" applyFill="1" applyBorder="1" applyAlignment="1">
      <alignment horizontal="center" vertical="center"/>
    </xf>
    <xf numFmtId="17" fontId="17" fillId="9" borderId="1" xfId="0" applyNumberFormat="1" applyFont="1" applyFill="1" applyBorder="1" applyAlignment="1">
      <alignment horizontal="center" vertical="center" wrapText="1"/>
    </xf>
    <xf numFmtId="17" fontId="9" fillId="10" borderId="1" xfId="0" applyNumberFormat="1" applyFont="1" applyFill="1" applyBorder="1" applyAlignment="1">
      <alignment horizontal="center" vertical="center"/>
    </xf>
    <xf numFmtId="41" fontId="8" fillId="0" borderId="1" xfId="2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40" fontId="10" fillId="0" borderId="0" xfId="0" applyNumberFormat="1" applyFont="1" applyAlignment="1">
      <alignment horizontal="center" vertical="center"/>
    </xf>
    <xf numFmtId="17" fontId="9" fillId="10" borderId="1" xfId="0" applyNumberFormat="1" applyFont="1" applyFill="1" applyBorder="1" applyAlignment="1">
      <alignment horizontal="center" vertical="center" wrapText="1"/>
    </xf>
    <xf numFmtId="3" fontId="8" fillId="0" borderId="1" xfId="1" applyNumberFormat="1" applyFont="1" applyFill="1" applyBorder="1" applyAlignment="1">
      <alignment horizontal="right" vertical="center"/>
    </xf>
    <xf numFmtId="172" fontId="12" fillId="0" borderId="1" xfId="1" applyNumberFormat="1" applyFont="1" applyFill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center" vertical="center"/>
    </xf>
    <xf numFmtId="166" fontId="10" fillId="0" borderId="1" xfId="2" applyNumberFormat="1" applyFont="1" applyFill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166" fontId="8" fillId="0" borderId="1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vertical="center"/>
    </xf>
    <xf numFmtId="17" fontId="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71" fontId="18" fillId="0" borderId="1" xfId="1" applyNumberFormat="1" applyFont="1" applyFill="1" applyBorder="1" applyAlignment="1" applyProtection="1">
      <alignment horizontal="right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0" fontId="3" fillId="0" borderId="0" xfId="0" applyFont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173" fontId="3" fillId="0" borderId="1" xfId="1" applyNumberFormat="1" applyFont="1" applyFill="1" applyBorder="1" applyAlignment="1" applyProtection="1">
      <alignment horizontal="right" vertical="center"/>
    </xf>
    <xf numFmtId="171" fontId="3" fillId="0" borderId="1" xfId="1" applyNumberFormat="1" applyFont="1" applyFill="1" applyBorder="1" applyAlignment="1" applyProtection="1">
      <alignment horizontal="right" vertical="center"/>
    </xf>
    <xf numFmtId="171" fontId="3" fillId="0" borderId="1" xfId="1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1" fontId="3" fillId="0" borderId="0" xfId="0" applyNumberFormat="1" applyFont="1"/>
    <xf numFmtId="41" fontId="7" fillId="0" borderId="0" xfId="0" applyNumberFormat="1" applyFont="1"/>
    <xf numFmtId="3" fontId="10" fillId="0" borderId="1" xfId="1" applyNumberFormat="1" applyFont="1" applyFill="1" applyBorder="1" applyAlignment="1">
      <alignment horizontal="right" vertical="center"/>
    </xf>
    <xf numFmtId="172" fontId="6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vertical="center"/>
    </xf>
    <xf numFmtId="170" fontId="6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/>
    <xf numFmtId="171" fontId="7" fillId="0" borderId="1" xfId="0" applyNumberFormat="1" applyFont="1" applyBorder="1"/>
    <xf numFmtId="171" fontId="7" fillId="0" borderId="1" xfId="1" applyNumberFormat="1" applyFont="1" applyFill="1" applyBorder="1" applyAlignment="1">
      <alignment horizontal="center" vertical="center"/>
    </xf>
    <xf numFmtId="166" fontId="7" fillId="0" borderId="1" xfId="3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10" fillId="0" borderId="1" xfId="72" applyNumberFormat="1" applyFont="1" applyBorder="1" applyAlignment="1">
      <alignment horizontal="center" vertical="center"/>
    </xf>
    <xf numFmtId="166" fontId="10" fillId="0" borderId="1" xfId="7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71" fontId="37" fillId="0" borderId="1" xfId="2" applyNumberFormat="1" applyFont="1" applyFill="1" applyBorder="1" applyAlignment="1">
      <alignment horizontal="right" vertical="center"/>
    </xf>
    <xf numFmtId="17" fontId="11" fillId="0" borderId="0" xfId="0" applyNumberFormat="1" applyFont="1" applyAlignment="1">
      <alignment horizontal="left"/>
    </xf>
    <xf numFmtId="17" fontId="10" fillId="0" borderId="0" xfId="72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9" fillId="4" borderId="1" xfId="0" applyNumberFormat="1" applyFont="1" applyFill="1" applyBorder="1" applyAlignment="1">
      <alignment horizontal="center" vertical="center"/>
    </xf>
    <xf numFmtId="40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40" fontId="9" fillId="4" borderId="4" xfId="0" applyNumberFormat="1" applyFont="1" applyFill="1" applyBorder="1" applyAlignment="1">
      <alignment horizontal="center" vertical="center" wrapText="1"/>
    </xf>
    <xf numFmtId="40" fontId="9" fillId="4" borderId="2" xfId="0" applyNumberFormat="1" applyFont="1" applyFill="1" applyBorder="1" applyAlignment="1">
      <alignment horizontal="center" vertical="center" wrapText="1"/>
    </xf>
    <xf numFmtId="3" fontId="9" fillId="4" borderId="4" xfId="0" applyNumberFormat="1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3" fontId="9" fillId="4" borderId="13" xfId="0" applyNumberFormat="1" applyFont="1" applyFill="1" applyBorder="1" applyAlignment="1">
      <alignment horizontal="center" vertical="center"/>
    </xf>
    <xf numFmtId="3" fontId="9" fillId="4" borderId="14" xfId="0" applyNumberFormat="1" applyFont="1" applyFill="1" applyBorder="1" applyAlignment="1">
      <alignment horizontal="center" vertical="center"/>
    </xf>
    <xf numFmtId="3" fontId="9" fillId="4" borderId="1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 wrapText="1"/>
    </xf>
    <xf numFmtId="0" fontId="11" fillId="0" borderId="0" xfId="72" applyFont="1" applyAlignment="1">
      <alignment horizontal="left"/>
    </xf>
    <xf numFmtId="0" fontId="10" fillId="0" borderId="1" xfId="72" applyFont="1" applyBorder="1" applyAlignment="1">
      <alignment horizontal="center"/>
    </xf>
    <xf numFmtId="169" fontId="6" fillId="3" borderId="1" xfId="1" applyNumberFormat="1" applyFont="1" applyFill="1" applyBorder="1" applyAlignment="1">
      <alignment horizontal="center" vertical="center"/>
    </xf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1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F17" sqref="F17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13" t="s">
        <v>0</v>
      </c>
      <c r="B1" s="113"/>
      <c r="C1" s="113"/>
      <c r="D1" s="78" t="s">
        <v>1</v>
      </c>
      <c r="E1" s="79">
        <v>45444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14"/>
      <c r="B2" s="115"/>
      <c r="C2" s="114"/>
      <c r="D2" s="115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18" t="s">
        <v>3</v>
      </c>
      <c r="B3" s="118" t="s">
        <v>4</v>
      </c>
      <c r="C3" s="118" t="s">
        <v>5</v>
      </c>
      <c r="D3" s="116" t="s">
        <v>6</v>
      </c>
      <c r="E3" s="116"/>
      <c r="F3" s="116"/>
      <c r="G3" s="116"/>
      <c r="H3" s="116"/>
      <c r="I3" s="116"/>
      <c r="J3" s="117" t="s">
        <v>7</v>
      </c>
      <c r="K3" s="117"/>
      <c r="L3" s="117"/>
      <c r="M3" s="117"/>
      <c r="N3" s="117"/>
      <c r="O3" s="117"/>
      <c r="P3" s="116" t="s">
        <v>6</v>
      </c>
      <c r="Q3" s="116"/>
      <c r="R3" s="116"/>
      <c r="S3" s="116"/>
      <c r="T3" s="117" t="s">
        <v>7</v>
      </c>
      <c r="U3" s="117"/>
      <c r="V3" s="117"/>
      <c r="W3" s="117"/>
      <c r="X3" s="120" t="s">
        <v>8</v>
      </c>
      <c r="Y3" s="120"/>
      <c r="Z3" s="120"/>
    </row>
    <row r="4" spans="1:28" s="75" customFormat="1" ht="18" customHeight="1" x14ac:dyDescent="0.25">
      <c r="A4" s="118"/>
      <c r="B4" s="118"/>
      <c r="C4" s="118"/>
      <c r="D4" s="116" t="s">
        <v>9</v>
      </c>
      <c r="E4" s="116"/>
      <c r="F4" s="116"/>
      <c r="G4" s="116"/>
      <c r="H4" s="116"/>
      <c r="I4" s="121" t="s">
        <v>10</v>
      </c>
      <c r="J4" s="117" t="s">
        <v>9</v>
      </c>
      <c r="K4" s="117"/>
      <c r="L4" s="117"/>
      <c r="M4" s="117"/>
      <c r="N4" s="117"/>
      <c r="O4" s="122" t="s">
        <v>10</v>
      </c>
      <c r="P4" s="121" t="s">
        <v>11</v>
      </c>
      <c r="Q4" s="116" t="s">
        <v>12</v>
      </c>
      <c r="R4" s="116"/>
      <c r="S4" s="116"/>
      <c r="T4" s="122" t="s">
        <v>11</v>
      </c>
      <c r="U4" s="117" t="s">
        <v>12</v>
      </c>
      <c r="V4" s="117"/>
      <c r="W4" s="117"/>
      <c r="X4" s="120"/>
      <c r="Y4" s="120"/>
      <c r="Z4" s="120"/>
    </row>
    <row r="5" spans="1:28" s="75" customFormat="1" ht="18" customHeight="1" x14ac:dyDescent="0.25">
      <c r="A5" s="118"/>
      <c r="B5" s="118"/>
      <c r="C5" s="118"/>
      <c r="D5" s="82">
        <v>2018</v>
      </c>
      <c r="E5" s="82">
        <v>2019</v>
      </c>
      <c r="F5" s="82">
        <v>2020</v>
      </c>
      <c r="G5" s="82">
        <v>2021</v>
      </c>
      <c r="H5" s="82">
        <v>2022</v>
      </c>
      <c r="I5" s="121"/>
      <c r="J5" s="86">
        <v>2018</v>
      </c>
      <c r="K5" s="86">
        <v>2019</v>
      </c>
      <c r="L5" s="86">
        <v>2020</v>
      </c>
      <c r="M5" s="86">
        <v>2021</v>
      </c>
      <c r="N5" s="86">
        <v>2022</v>
      </c>
      <c r="O5" s="122"/>
      <c r="P5" s="121" t="s">
        <v>11</v>
      </c>
      <c r="Q5" s="82" t="s">
        <v>13</v>
      </c>
      <c r="R5" s="82" t="s">
        <v>14</v>
      </c>
      <c r="S5" s="82" t="s">
        <v>15</v>
      </c>
      <c r="T5" s="122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19" t="str">
        <f>B3&amp;""&amp;B6</f>
        <v>PROVINSI</v>
      </c>
      <c r="B39" s="119"/>
      <c r="C39" s="119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  <mergeCell ref="A1:C1"/>
    <mergeCell ref="A2:B2"/>
    <mergeCell ref="C2:D2"/>
    <mergeCell ref="D3:I3"/>
    <mergeCell ref="J3:O3"/>
    <mergeCell ref="A3:A5"/>
    <mergeCell ref="B3:B5"/>
    <mergeCell ref="C3:C5"/>
  </mergeCells>
  <conditionalFormatting sqref="Y5">
    <cfRule type="cellIs" dxfId="20" priority="139" operator="equal">
      <formula>"AMAN"</formula>
    </cfRule>
    <cfRule type="cellIs" dxfId="19" priority="140" operator="equal">
      <formula>"WASPADA"</formula>
    </cfRule>
    <cfRule type="cellIs" dxfId="18" priority="141" operator="equal">
      <formula>"RENTAN"</formula>
    </cfRule>
  </conditionalFormatting>
  <conditionalFormatting sqref="Y6:Z39">
    <cfRule type="cellIs" dxfId="17" priority="136" operator="equal">
      <formula>"AMAN"</formula>
    </cfRule>
    <cfRule type="cellIs" dxfId="16" priority="137" operator="equal">
      <formula>"WASPADA"</formula>
    </cfRule>
    <cfRule type="cellIs" dxfId="15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80" zoomScaleNormal="80" workbookViewId="0">
      <pane xSplit="3" ySplit="6" topLeftCell="AD7" activePane="bottomRight" state="frozen"/>
      <selection pane="topRight"/>
      <selection pane="bottomLeft"/>
      <selection pane="bottomRight" activeCell="M26" sqref="M26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20.5703125" style="46" customWidth="1"/>
    <col min="4" max="27" width="10.28515625" style="46" customWidth="1"/>
    <col min="28" max="28" width="10.7109375" style="47" customWidth="1"/>
    <col min="29" max="29" width="10.7109375" style="48" customWidth="1"/>
    <col min="30" max="30" width="10.7109375" style="46" customWidth="1"/>
    <col min="31" max="31" width="10.7109375" style="47" customWidth="1"/>
    <col min="32" max="32" width="10.7109375" style="48" customWidth="1"/>
    <col min="33" max="33" width="10.7109375" style="46" customWidth="1"/>
    <col min="34" max="34" width="10.7109375" style="47" customWidth="1"/>
    <col min="35" max="35" width="10.7109375" style="48" customWidth="1"/>
    <col min="36" max="36" width="10.7109375" style="46" customWidth="1"/>
    <col min="37" max="37" width="10.7109375" style="47" customWidth="1"/>
    <col min="38" max="38" width="10.7109375" style="48" customWidth="1"/>
    <col min="39" max="39" width="10.7109375" style="46" customWidth="1"/>
    <col min="40" max="40" width="10.7109375" style="47" customWidth="1"/>
    <col min="41" max="41" width="10.7109375" style="48" customWidth="1"/>
    <col min="42" max="42" width="10.7109375" style="46" customWidth="1"/>
    <col min="43" max="43" width="10.7109375" style="47" customWidth="1"/>
    <col min="44" max="44" width="10.7109375" style="48" customWidth="1"/>
    <col min="45" max="45" width="10.7109375" style="46" customWidth="1"/>
    <col min="46" max="48" width="10.7109375" style="49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23" t="s">
        <v>566</v>
      </c>
      <c r="B1" s="123"/>
      <c r="C1" s="123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27" t="s">
        <v>3</v>
      </c>
      <c r="B3" s="127" t="s">
        <v>609</v>
      </c>
      <c r="C3" s="127" t="s">
        <v>610</v>
      </c>
      <c r="D3" s="128" t="s">
        <v>567</v>
      </c>
      <c r="E3" s="130"/>
      <c r="F3" s="130"/>
      <c r="G3" s="128" t="s">
        <v>10</v>
      </c>
      <c r="H3" s="129" t="s">
        <v>568</v>
      </c>
      <c r="I3" s="143"/>
      <c r="J3" s="143"/>
      <c r="K3" s="129" t="s">
        <v>10</v>
      </c>
      <c r="L3" s="137" t="s">
        <v>569</v>
      </c>
      <c r="M3" s="145"/>
      <c r="N3" s="145"/>
      <c r="O3" s="137" t="s">
        <v>10</v>
      </c>
      <c r="P3" s="131" t="s">
        <v>570</v>
      </c>
      <c r="Q3" s="132"/>
      <c r="R3" s="132"/>
      <c r="S3" s="131" t="s">
        <v>10</v>
      </c>
      <c r="T3" s="138" t="s">
        <v>571</v>
      </c>
      <c r="U3" s="144"/>
      <c r="V3" s="144"/>
      <c r="W3" s="138" t="s">
        <v>10</v>
      </c>
      <c r="X3" s="146" t="s">
        <v>572</v>
      </c>
      <c r="Y3" s="147"/>
      <c r="Z3" s="148"/>
      <c r="AA3" s="139" t="s">
        <v>10</v>
      </c>
      <c r="AB3" s="124" t="s">
        <v>573</v>
      </c>
      <c r="AC3" s="125"/>
      <c r="AD3" s="126"/>
      <c r="AE3" s="124" t="s">
        <v>574</v>
      </c>
      <c r="AF3" s="125"/>
      <c r="AG3" s="126"/>
      <c r="AH3" s="124" t="s">
        <v>575</v>
      </c>
      <c r="AI3" s="125"/>
      <c r="AJ3" s="126"/>
      <c r="AK3" s="124" t="s">
        <v>576</v>
      </c>
      <c r="AL3" s="125"/>
      <c r="AM3" s="126"/>
      <c r="AN3" s="124" t="s">
        <v>577</v>
      </c>
      <c r="AO3" s="125"/>
      <c r="AP3" s="126"/>
      <c r="AQ3" s="152" t="s">
        <v>578</v>
      </c>
      <c r="AR3" s="153"/>
      <c r="AS3" s="154"/>
      <c r="AT3" s="142" t="s">
        <v>579</v>
      </c>
      <c r="AU3" s="142"/>
      <c r="AV3" s="142"/>
    </row>
    <row r="4" spans="1:49" s="45" customFormat="1" ht="15.75" x14ac:dyDescent="0.25">
      <c r="A4" s="127"/>
      <c r="B4" s="127"/>
      <c r="C4" s="127"/>
      <c r="D4" s="130"/>
      <c r="E4" s="130"/>
      <c r="F4" s="130"/>
      <c r="G4" s="128"/>
      <c r="H4" s="143"/>
      <c r="I4" s="143"/>
      <c r="J4" s="143"/>
      <c r="K4" s="129"/>
      <c r="L4" s="145"/>
      <c r="M4" s="145"/>
      <c r="N4" s="145"/>
      <c r="O4" s="137"/>
      <c r="P4" s="132"/>
      <c r="Q4" s="132"/>
      <c r="R4" s="132"/>
      <c r="S4" s="131"/>
      <c r="T4" s="144"/>
      <c r="U4" s="144"/>
      <c r="V4" s="144"/>
      <c r="W4" s="138"/>
      <c r="X4" s="149"/>
      <c r="Y4" s="150"/>
      <c r="Z4" s="151"/>
      <c r="AA4" s="140"/>
      <c r="AB4" s="135" t="s">
        <v>580</v>
      </c>
      <c r="AC4" s="133" t="s">
        <v>13</v>
      </c>
      <c r="AD4" s="135" t="s">
        <v>14</v>
      </c>
      <c r="AE4" s="135" t="s">
        <v>580</v>
      </c>
      <c r="AF4" s="133" t="s">
        <v>13</v>
      </c>
      <c r="AG4" s="135" t="s">
        <v>14</v>
      </c>
      <c r="AH4" s="135" t="s">
        <v>580</v>
      </c>
      <c r="AI4" s="133" t="s">
        <v>13</v>
      </c>
      <c r="AJ4" s="135" t="s">
        <v>14</v>
      </c>
      <c r="AK4" s="135" t="s">
        <v>580</v>
      </c>
      <c r="AL4" s="133" t="s">
        <v>13</v>
      </c>
      <c r="AM4" s="135" t="s">
        <v>14</v>
      </c>
      <c r="AN4" s="135" t="s">
        <v>580</v>
      </c>
      <c r="AO4" s="133" t="s">
        <v>13</v>
      </c>
      <c r="AP4" s="135" t="s">
        <v>14</v>
      </c>
      <c r="AQ4" s="135" t="s">
        <v>580</v>
      </c>
      <c r="AR4" s="133" t="s">
        <v>13</v>
      </c>
      <c r="AS4" s="135" t="s">
        <v>14</v>
      </c>
      <c r="AT4" s="142"/>
      <c r="AU4" s="142"/>
      <c r="AV4" s="142"/>
    </row>
    <row r="5" spans="1:49" s="45" customFormat="1" ht="21" customHeight="1" x14ac:dyDescent="0.25">
      <c r="A5" s="127"/>
      <c r="B5" s="127"/>
      <c r="C5" s="127"/>
      <c r="D5" s="52">
        <f>IK!$E$1-85</f>
        <v>45359</v>
      </c>
      <c r="E5" s="52">
        <f>IK!$E$1-55</f>
        <v>45389</v>
      </c>
      <c r="F5" s="52">
        <f>IK!$E$1-25</f>
        <v>45419</v>
      </c>
      <c r="G5" s="52">
        <f>IK!$E$1</f>
        <v>45444</v>
      </c>
      <c r="H5" s="53">
        <f t="shared" ref="H5:AA5" si="0">D5</f>
        <v>45359</v>
      </c>
      <c r="I5" s="53">
        <f t="shared" si="0"/>
        <v>45389</v>
      </c>
      <c r="J5" s="53">
        <f t="shared" si="0"/>
        <v>45419</v>
      </c>
      <c r="K5" s="56">
        <f t="shared" si="0"/>
        <v>45444</v>
      </c>
      <c r="L5" s="57">
        <f t="shared" si="0"/>
        <v>45359</v>
      </c>
      <c r="M5" s="57">
        <f t="shared" si="0"/>
        <v>45389</v>
      </c>
      <c r="N5" s="57">
        <f t="shared" si="0"/>
        <v>45419</v>
      </c>
      <c r="O5" s="58">
        <f t="shared" si="0"/>
        <v>45444</v>
      </c>
      <c r="P5" s="59">
        <f t="shared" si="0"/>
        <v>45359</v>
      </c>
      <c r="Q5" s="59">
        <f t="shared" si="0"/>
        <v>45389</v>
      </c>
      <c r="R5" s="59">
        <f t="shared" si="0"/>
        <v>45419</v>
      </c>
      <c r="S5" s="60">
        <f t="shared" si="0"/>
        <v>45444</v>
      </c>
      <c r="T5" s="61">
        <f t="shared" si="0"/>
        <v>45359</v>
      </c>
      <c r="U5" s="61">
        <f t="shared" si="0"/>
        <v>45389</v>
      </c>
      <c r="V5" s="61">
        <f t="shared" si="0"/>
        <v>45419</v>
      </c>
      <c r="W5" s="62">
        <f t="shared" si="0"/>
        <v>45444</v>
      </c>
      <c r="X5" s="63">
        <f t="shared" si="0"/>
        <v>45359</v>
      </c>
      <c r="Y5" s="63">
        <f t="shared" si="0"/>
        <v>45389</v>
      </c>
      <c r="Z5" s="63">
        <f t="shared" si="0"/>
        <v>45419</v>
      </c>
      <c r="AA5" s="67">
        <f t="shared" si="0"/>
        <v>45444</v>
      </c>
      <c r="AB5" s="136"/>
      <c r="AC5" s="134"/>
      <c r="AD5" s="136"/>
      <c r="AE5" s="136"/>
      <c r="AF5" s="134"/>
      <c r="AG5" s="136"/>
      <c r="AH5" s="136"/>
      <c r="AI5" s="134"/>
      <c r="AJ5" s="136"/>
      <c r="AK5" s="136"/>
      <c r="AL5" s="134"/>
      <c r="AM5" s="136"/>
      <c r="AN5" s="136"/>
      <c r="AO5" s="134"/>
      <c r="AP5" s="136"/>
      <c r="AQ5" s="136"/>
      <c r="AR5" s="134"/>
      <c r="AS5" s="136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13000</v>
      </c>
      <c r="E6" s="54">
        <v>11560</v>
      </c>
      <c r="F6" s="54">
        <v>12000</v>
      </c>
      <c r="G6" s="110">
        <v>12000</v>
      </c>
      <c r="H6" s="54">
        <v>9000</v>
      </c>
      <c r="I6" s="54">
        <v>9000</v>
      </c>
      <c r="J6" s="54">
        <v>9000</v>
      </c>
      <c r="K6" s="54">
        <v>9000</v>
      </c>
      <c r="L6" s="54">
        <v>14000</v>
      </c>
      <c r="M6" s="54">
        <v>14000</v>
      </c>
      <c r="N6" s="54">
        <v>14000</v>
      </c>
      <c r="O6" s="54">
        <v>14000</v>
      </c>
      <c r="P6" s="54">
        <v>16230</v>
      </c>
      <c r="Q6" s="54">
        <v>16000</v>
      </c>
      <c r="R6" s="54">
        <v>15950</v>
      </c>
      <c r="S6" s="55">
        <v>15825</v>
      </c>
      <c r="T6" s="64">
        <v>40000</v>
      </c>
      <c r="U6" s="64">
        <v>40000</v>
      </c>
      <c r="V6" s="64">
        <v>39850</v>
      </c>
      <c r="W6" s="64">
        <v>43000</v>
      </c>
      <c r="X6" s="64">
        <v>28000</v>
      </c>
      <c r="Y6" s="64">
        <v>27375</v>
      </c>
      <c r="Z6" s="64">
        <v>30300</v>
      </c>
      <c r="AA6" s="55">
        <v>30420</v>
      </c>
      <c r="AB6" s="68">
        <f t="shared" ref="AB6:AB14" si="1">IF(ISERROR(AVERAGE(D6:F6)),0,AVERAGE(D6:F6))</f>
        <v>12186.666666666666</v>
      </c>
      <c r="AC6" s="69">
        <f t="shared" ref="AC6:AC14" si="2">IF(ISERROR(((G6-AB6)/AB6)*100),0,((G6-AB6)/AB6)*100)</f>
        <v>-1.5317286652078725</v>
      </c>
      <c r="AD6" s="70">
        <f t="shared" ref="AD6:AD14" si="3">IF(AC6="","",IF(AC6&gt;10,1,IF(AC6&lt;5,3,2)))</f>
        <v>3</v>
      </c>
      <c r="AE6" s="68">
        <f t="shared" ref="AE6:AE14" si="4">IF(ISERROR(AVERAGE(H6:J6)),0,AVERAGE(H6:J6))</f>
        <v>9000</v>
      </c>
      <c r="AF6" s="69">
        <f t="shared" ref="AF6:AF14" si="5">IF(ISERROR(((K6-AE6)/AE6)*100),0,((K6-AE6)/AE6)*100)</f>
        <v>0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14000</v>
      </c>
      <c r="AI6" s="69">
        <f t="shared" ref="AI6:AI14" si="8">IF(ISERROR(((O6-AH6)/AH6)*100),0,((O6-AH6)/AH6)*100)</f>
        <v>0</v>
      </c>
      <c r="AJ6" s="70">
        <f t="shared" ref="AJ6:AJ14" si="9">IF(AI6="","",IF(AI6&gt;15,1,IF(AI6&lt;5,3,2)))</f>
        <v>3</v>
      </c>
      <c r="AK6" s="68">
        <f t="shared" ref="AK6:AK14" si="10">IF(ISERROR(AVERAGE(P6:R6)),0,AVERAGE(P6:R6))</f>
        <v>16060</v>
      </c>
      <c r="AL6" s="69">
        <f t="shared" ref="AL6:AL14" si="11">IF(ISERROR(((S6-AK6)/AK6)*100),0,((S6-AK6)/AK6)*100)</f>
        <v>-1.4632627646326275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39950</v>
      </c>
      <c r="AO6" s="69">
        <f t="shared" ref="AO6:AO14" si="14">IF(ISERROR(((W6-AN6)/AN6)*100),0,((W6-AN6)/AN6)*100)</f>
        <v>7.6345431789737166</v>
      </c>
      <c r="AP6" s="70">
        <f t="shared" ref="AP6:AP14" si="15">IF(AO6="","",IF(AO6&gt;15,1,IF(AO6&lt;5,3,2)))</f>
        <v>2</v>
      </c>
      <c r="AQ6" s="68">
        <f t="shared" ref="AQ6:AQ14" si="16">IF(ISERROR(AVERAGE(X6:Z6)),0,AVERAGE(X6:Z6))</f>
        <v>28558.333333333332</v>
      </c>
      <c r="AR6" s="69">
        <f t="shared" ref="AR6:AR14" si="17">IF(ISERROR(((AA6-AQ6)/AQ6)*100),0,((AA6-AQ6)/AQ6)*100)</f>
        <v>6.5188211263495814</v>
      </c>
      <c r="AS6" s="70">
        <f t="shared" ref="AS6:AS14" si="18">IF(AR6="","",IF(AR6&gt;15,1,IF(AR6&lt;5,3,2)))</f>
        <v>2</v>
      </c>
      <c r="AT6" s="73">
        <f t="shared" ref="AT6:AT14" si="19">IF(ISERROR(AD6+AG6+AJ6+AM6+AP6+AS6),"",AD6+AG6+AJ6+AM6+AP6+AS6)</f>
        <v>16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13000</v>
      </c>
      <c r="E7" s="54">
        <v>11560</v>
      </c>
      <c r="F7" s="54">
        <v>12000</v>
      </c>
      <c r="G7" s="54">
        <v>12000</v>
      </c>
      <c r="H7" s="54">
        <v>9000</v>
      </c>
      <c r="I7" s="54">
        <v>9000</v>
      </c>
      <c r="J7" s="54">
        <v>9000</v>
      </c>
      <c r="K7" s="54">
        <v>9000</v>
      </c>
      <c r="L7" s="54">
        <v>14000</v>
      </c>
      <c r="M7" s="54">
        <v>14000</v>
      </c>
      <c r="N7" s="54">
        <v>14000</v>
      </c>
      <c r="O7" s="54">
        <v>14000</v>
      </c>
      <c r="P7" s="54">
        <v>16230</v>
      </c>
      <c r="Q7" s="54">
        <v>16000</v>
      </c>
      <c r="R7" s="54">
        <v>15950</v>
      </c>
      <c r="S7" s="55">
        <v>15825</v>
      </c>
      <c r="T7" s="64">
        <v>40000</v>
      </c>
      <c r="U7" s="64">
        <v>40000</v>
      </c>
      <c r="V7" s="64">
        <v>39850</v>
      </c>
      <c r="W7" s="64">
        <v>43000</v>
      </c>
      <c r="X7" s="64">
        <v>28000</v>
      </c>
      <c r="Y7" s="64">
        <v>27375</v>
      </c>
      <c r="Z7" s="64">
        <v>30300</v>
      </c>
      <c r="AA7" s="55">
        <v>30420</v>
      </c>
      <c r="AB7" s="68">
        <f t="shared" si="1"/>
        <v>12186.666666666666</v>
      </c>
      <c r="AC7" s="69">
        <f t="shared" si="2"/>
        <v>-1.5317286652078725</v>
      </c>
      <c r="AD7" s="70">
        <f t="shared" si="3"/>
        <v>3</v>
      </c>
      <c r="AE7" s="68">
        <f t="shared" si="4"/>
        <v>9000</v>
      </c>
      <c r="AF7" s="69">
        <f t="shared" si="5"/>
        <v>0</v>
      </c>
      <c r="AG7" s="70">
        <f t="shared" si="6"/>
        <v>3</v>
      </c>
      <c r="AH7" s="68">
        <f t="shared" si="7"/>
        <v>14000</v>
      </c>
      <c r="AI7" s="69">
        <f t="shared" si="8"/>
        <v>0</v>
      </c>
      <c r="AJ7" s="70">
        <f t="shared" si="9"/>
        <v>3</v>
      </c>
      <c r="AK7" s="68">
        <f t="shared" si="10"/>
        <v>16060</v>
      </c>
      <c r="AL7" s="69">
        <f t="shared" si="11"/>
        <v>-1.4632627646326275</v>
      </c>
      <c r="AM7" s="70">
        <f t="shared" si="12"/>
        <v>3</v>
      </c>
      <c r="AN7" s="68">
        <f t="shared" si="13"/>
        <v>39950</v>
      </c>
      <c r="AO7" s="69">
        <f t="shared" si="14"/>
        <v>7.6345431789737166</v>
      </c>
      <c r="AP7" s="70">
        <f t="shared" si="15"/>
        <v>2</v>
      </c>
      <c r="AQ7" s="68">
        <f t="shared" si="16"/>
        <v>28558.333333333332</v>
      </c>
      <c r="AR7" s="69">
        <f t="shared" si="17"/>
        <v>6.5188211263495814</v>
      </c>
      <c r="AS7" s="70">
        <f t="shared" si="18"/>
        <v>2</v>
      </c>
      <c r="AT7" s="73">
        <f t="shared" si="19"/>
        <v>16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13000</v>
      </c>
      <c r="E8" s="54">
        <v>11560</v>
      </c>
      <c r="F8" s="54">
        <v>12000</v>
      </c>
      <c r="G8" s="54">
        <v>12000</v>
      </c>
      <c r="H8" s="54">
        <v>9000</v>
      </c>
      <c r="I8" s="54">
        <v>9000</v>
      </c>
      <c r="J8" s="54">
        <v>9000</v>
      </c>
      <c r="K8" s="54">
        <v>9000</v>
      </c>
      <c r="L8" s="54">
        <v>14000</v>
      </c>
      <c r="M8" s="54">
        <v>14000</v>
      </c>
      <c r="N8" s="54">
        <v>14000</v>
      </c>
      <c r="O8" s="54">
        <v>14000</v>
      </c>
      <c r="P8" s="54">
        <v>16230</v>
      </c>
      <c r="Q8" s="54">
        <v>16000</v>
      </c>
      <c r="R8" s="54">
        <v>15950</v>
      </c>
      <c r="S8" s="55">
        <v>15825</v>
      </c>
      <c r="T8" s="64">
        <v>40000</v>
      </c>
      <c r="U8" s="64">
        <v>40000</v>
      </c>
      <c r="V8" s="64">
        <v>39850</v>
      </c>
      <c r="W8" s="64">
        <v>43000</v>
      </c>
      <c r="X8" s="64">
        <v>28000</v>
      </c>
      <c r="Y8" s="64">
        <v>27375</v>
      </c>
      <c r="Z8" s="64">
        <v>30300</v>
      </c>
      <c r="AA8" s="55">
        <v>30420</v>
      </c>
      <c r="AB8" s="68">
        <f t="shared" si="1"/>
        <v>12186.666666666666</v>
      </c>
      <c r="AC8" s="69">
        <f t="shared" si="2"/>
        <v>-1.5317286652078725</v>
      </c>
      <c r="AD8" s="70">
        <f t="shared" si="3"/>
        <v>3</v>
      </c>
      <c r="AE8" s="68">
        <f t="shared" si="4"/>
        <v>9000</v>
      </c>
      <c r="AF8" s="69">
        <f t="shared" si="5"/>
        <v>0</v>
      </c>
      <c r="AG8" s="70">
        <f t="shared" si="6"/>
        <v>3</v>
      </c>
      <c r="AH8" s="68">
        <f t="shared" si="7"/>
        <v>14000</v>
      </c>
      <c r="AI8" s="69">
        <f t="shared" si="8"/>
        <v>0</v>
      </c>
      <c r="AJ8" s="70">
        <f t="shared" si="9"/>
        <v>3</v>
      </c>
      <c r="AK8" s="68">
        <f t="shared" si="10"/>
        <v>16060</v>
      </c>
      <c r="AL8" s="69">
        <f t="shared" si="11"/>
        <v>-1.4632627646326275</v>
      </c>
      <c r="AM8" s="70">
        <f t="shared" si="12"/>
        <v>3</v>
      </c>
      <c r="AN8" s="68">
        <f t="shared" si="13"/>
        <v>39950</v>
      </c>
      <c r="AO8" s="69">
        <f t="shared" si="14"/>
        <v>7.6345431789737166</v>
      </c>
      <c r="AP8" s="70">
        <f t="shared" si="15"/>
        <v>2</v>
      </c>
      <c r="AQ8" s="68">
        <f t="shared" si="16"/>
        <v>28558.333333333332</v>
      </c>
      <c r="AR8" s="69">
        <f t="shared" si="17"/>
        <v>6.5188211263495814</v>
      </c>
      <c r="AS8" s="70">
        <f t="shared" si="18"/>
        <v>2</v>
      </c>
      <c r="AT8" s="73">
        <f t="shared" si="19"/>
        <v>16</v>
      </c>
      <c r="AU8" s="73" t="str">
        <f t="shared" si="20"/>
        <v>AMAN</v>
      </c>
      <c r="AV8" s="73" t="str">
        <f t="shared" si="21"/>
        <v>3</v>
      </c>
    </row>
    <row r="9" spans="1:49" ht="15.75" x14ac:dyDescent="0.25">
      <c r="A9" s="108"/>
      <c r="B9" s="108"/>
      <c r="C9" s="108" t="s">
        <v>615</v>
      </c>
      <c r="D9" s="54">
        <v>13000</v>
      </c>
      <c r="E9" s="54">
        <v>11560</v>
      </c>
      <c r="F9" s="54">
        <v>12000</v>
      </c>
      <c r="G9" s="54">
        <v>12000</v>
      </c>
      <c r="H9" s="54">
        <v>9000</v>
      </c>
      <c r="I9" s="54">
        <v>9000</v>
      </c>
      <c r="J9" s="54">
        <v>9000</v>
      </c>
      <c r="K9" s="54">
        <v>9000</v>
      </c>
      <c r="L9" s="54">
        <v>14000</v>
      </c>
      <c r="M9" s="54">
        <v>14000</v>
      </c>
      <c r="N9" s="54">
        <v>14000</v>
      </c>
      <c r="O9" s="54">
        <v>14000</v>
      </c>
      <c r="P9" s="54">
        <v>16230</v>
      </c>
      <c r="Q9" s="54">
        <v>16000</v>
      </c>
      <c r="R9" s="54">
        <v>15950</v>
      </c>
      <c r="S9" s="55">
        <v>15825</v>
      </c>
      <c r="T9" s="64">
        <v>40000</v>
      </c>
      <c r="U9" s="64">
        <v>40000</v>
      </c>
      <c r="V9" s="64">
        <v>39850</v>
      </c>
      <c r="W9" s="64">
        <v>43000</v>
      </c>
      <c r="X9" s="64">
        <v>28000</v>
      </c>
      <c r="Y9" s="64">
        <v>27375</v>
      </c>
      <c r="Z9" s="64">
        <v>30300</v>
      </c>
      <c r="AA9" s="55">
        <v>30420</v>
      </c>
      <c r="AB9" s="68">
        <f t="shared" si="1"/>
        <v>12186.666666666666</v>
      </c>
      <c r="AC9" s="69">
        <f t="shared" si="2"/>
        <v>-1.5317286652078725</v>
      </c>
      <c r="AD9" s="70">
        <f t="shared" si="3"/>
        <v>3</v>
      </c>
      <c r="AE9" s="68">
        <f t="shared" si="4"/>
        <v>9000</v>
      </c>
      <c r="AF9" s="69">
        <f t="shared" si="5"/>
        <v>0</v>
      </c>
      <c r="AG9" s="70">
        <f t="shared" si="6"/>
        <v>3</v>
      </c>
      <c r="AH9" s="68">
        <f t="shared" si="7"/>
        <v>14000</v>
      </c>
      <c r="AI9" s="69">
        <f t="shared" si="8"/>
        <v>0</v>
      </c>
      <c r="AJ9" s="70">
        <f t="shared" si="9"/>
        <v>3</v>
      </c>
      <c r="AK9" s="68">
        <f t="shared" si="10"/>
        <v>16060</v>
      </c>
      <c r="AL9" s="69">
        <f t="shared" si="11"/>
        <v>-1.4632627646326275</v>
      </c>
      <c r="AM9" s="70">
        <f t="shared" si="12"/>
        <v>3</v>
      </c>
      <c r="AN9" s="68">
        <f t="shared" si="13"/>
        <v>39950</v>
      </c>
      <c r="AO9" s="69">
        <f t="shared" si="14"/>
        <v>7.6345431789737166</v>
      </c>
      <c r="AP9" s="70">
        <f t="shared" si="15"/>
        <v>2</v>
      </c>
      <c r="AQ9" s="68">
        <f t="shared" si="16"/>
        <v>28558.333333333332</v>
      </c>
      <c r="AR9" s="69">
        <f t="shared" si="17"/>
        <v>6.5188211263495814</v>
      </c>
      <c r="AS9" s="70">
        <f t="shared" si="18"/>
        <v>2</v>
      </c>
      <c r="AT9" s="73">
        <f t="shared" si="19"/>
        <v>16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13000</v>
      </c>
      <c r="E10" s="54">
        <v>11560</v>
      </c>
      <c r="F10" s="54">
        <v>12000</v>
      </c>
      <c r="G10" s="54">
        <v>12000</v>
      </c>
      <c r="H10" s="54">
        <v>9000</v>
      </c>
      <c r="I10" s="54">
        <v>9000</v>
      </c>
      <c r="J10" s="54">
        <v>9000</v>
      </c>
      <c r="K10" s="54">
        <v>9000</v>
      </c>
      <c r="L10" s="54">
        <v>14000</v>
      </c>
      <c r="M10" s="54">
        <v>14000</v>
      </c>
      <c r="N10" s="54">
        <v>14000</v>
      </c>
      <c r="O10" s="54">
        <v>14000</v>
      </c>
      <c r="P10" s="54">
        <v>16230</v>
      </c>
      <c r="Q10" s="54">
        <v>16000</v>
      </c>
      <c r="R10" s="54">
        <v>15950</v>
      </c>
      <c r="S10" s="55">
        <v>15825</v>
      </c>
      <c r="T10" s="64">
        <v>40000</v>
      </c>
      <c r="U10" s="64">
        <v>40000</v>
      </c>
      <c r="V10" s="64">
        <v>39850</v>
      </c>
      <c r="W10" s="64">
        <v>43000</v>
      </c>
      <c r="X10" s="64">
        <v>28000</v>
      </c>
      <c r="Y10" s="64">
        <v>27375</v>
      </c>
      <c r="Z10" s="64">
        <v>30300</v>
      </c>
      <c r="AA10" s="55">
        <v>30420</v>
      </c>
      <c r="AB10" s="68">
        <f t="shared" si="1"/>
        <v>12186.666666666666</v>
      </c>
      <c r="AC10" s="69">
        <f t="shared" si="2"/>
        <v>-1.5317286652078725</v>
      </c>
      <c r="AD10" s="70">
        <f t="shared" si="3"/>
        <v>3</v>
      </c>
      <c r="AE10" s="68">
        <f t="shared" si="4"/>
        <v>9000</v>
      </c>
      <c r="AF10" s="69">
        <f t="shared" si="5"/>
        <v>0</v>
      </c>
      <c r="AG10" s="70">
        <f t="shared" si="6"/>
        <v>3</v>
      </c>
      <c r="AH10" s="68">
        <f t="shared" si="7"/>
        <v>14000</v>
      </c>
      <c r="AI10" s="69">
        <f t="shared" si="8"/>
        <v>0</v>
      </c>
      <c r="AJ10" s="70">
        <f t="shared" si="9"/>
        <v>3</v>
      </c>
      <c r="AK10" s="68">
        <f t="shared" si="10"/>
        <v>16060</v>
      </c>
      <c r="AL10" s="69">
        <f t="shared" si="11"/>
        <v>-1.4632627646326275</v>
      </c>
      <c r="AM10" s="70">
        <f t="shared" si="12"/>
        <v>3</v>
      </c>
      <c r="AN10" s="68">
        <f t="shared" si="13"/>
        <v>39950</v>
      </c>
      <c r="AO10" s="69">
        <f t="shared" si="14"/>
        <v>7.6345431789737166</v>
      </c>
      <c r="AP10" s="70">
        <f t="shared" si="15"/>
        <v>2</v>
      </c>
      <c r="AQ10" s="68">
        <f t="shared" si="16"/>
        <v>28558.333333333332</v>
      </c>
      <c r="AR10" s="69">
        <f t="shared" si="17"/>
        <v>6.5188211263495814</v>
      </c>
      <c r="AS10" s="70">
        <f t="shared" si="18"/>
        <v>2</v>
      </c>
      <c r="AT10" s="73">
        <f t="shared" si="19"/>
        <v>16</v>
      </c>
      <c r="AU10" s="73" t="str">
        <f t="shared" si="20"/>
        <v>AMAN</v>
      </c>
      <c r="AV10" s="73" t="str">
        <f t="shared" si="21"/>
        <v>3</v>
      </c>
    </row>
    <row r="11" spans="1:49" ht="15.75" x14ac:dyDescent="0.25">
      <c r="A11" s="108"/>
      <c r="B11" s="108"/>
      <c r="C11" s="108" t="s">
        <v>611</v>
      </c>
      <c r="D11" s="54">
        <v>13000</v>
      </c>
      <c r="E11" s="54">
        <v>11560</v>
      </c>
      <c r="F11" s="54">
        <v>12000</v>
      </c>
      <c r="G11" s="54">
        <v>12000</v>
      </c>
      <c r="H11" s="54">
        <v>9000</v>
      </c>
      <c r="I11" s="54">
        <v>9000</v>
      </c>
      <c r="J11" s="54">
        <v>9000</v>
      </c>
      <c r="K11" s="54">
        <v>9000</v>
      </c>
      <c r="L11" s="54">
        <v>14000</v>
      </c>
      <c r="M11" s="54">
        <v>14000</v>
      </c>
      <c r="N11" s="54">
        <v>14000</v>
      </c>
      <c r="O11" s="54">
        <v>14000</v>
      </c>
      <c r="P11" s="54">
        <v>16230</v>
      </c>
      <c r="Q11" s="54">
        <v>16000</v>
      </c>
      <c r="R11" s="54">
        <v>15950</v>
      </c>
      <c r="S11" s="55">
        <v>15825</v>
      </c>
      <c r="T11" s="64">
        <v>40000</v>
      </c>
      <c r="U11" s="64">
        <v>40000</v>
      </c>
      <c r="V11" s="64">
        <v>39850</v>
      </c>
      <c r="W11" s="64">
        <v>43000</v>
      </c>
      <c r="X11" s="64">
        <v>28000</v>
      </c>
      <c r="Y11" s="64">
        <v>27375</v>
      </c>
      <c r="Z11" s="64">
        <v>30300</v>
      </c>
      <c r="AA11" s="55">
        <v>30420</v>
      </c>
      <c r="AB11" s="68">
        <f t="shared" si="1"/>
        <v>12186.666666666666</v>
      </c>
      <c r="AC11" s="69">
        <f t="shared" si="2"/>
        <v>-1.5317286652078725</v>
      </c>
      <c r="AD11" s="70">
        <f t="shared" si="3"/>
        <v>3</v>
      </c>
      <c r="AE11" s="68">
        <f t="shared" si="4"/>
        <v>9000</v>
      </c>
      <c r="AF11" s="69">
        <f t="shared" si="5"/>
        <v>0</v>
      </c>
      <c r="AG11" s="70">
        <f t="shared" si="6"/>
        <v>3</v>
      </c>
      <c r="AH11" s="68">
        <f t="shared" si="7"/>
        <v>14000</v>
      </c>
      <c r="AI11" s="69">
        <f t="shared" si="8"/>
        <v>0</v>
      </c>
      <c r="AJ11" s="70">
        <f t="shared" si="9"/>
        <v>3</v>
      </c>
      <c r="AK11" s="68">
        <f t="shared" si="10"/>
        <v>16060</v>
      </c>
      <c r="AL11" s="69">
        <f t="shared" si="11"/>
        <v>-1.4632627646326275</v>
      </c>
      <c r="AM11" s="70">
        <f t="shared" si="12"/>
        <v>3</v>
      </c>
      <c r="AN11" s="68">
        <f t="shared" si="13"/>
        <v>39950</v>
      </c>
      <c r="AO11" s="69">
        <f t="shared" si="14"/>
        <v>7.6345431789737166</v>
      </c>
      <c r="AP11" s="70">
        <f t="shared" si="15"/>
        <v>2</v>
      </c>
      <c r="AQ11" s="68">
        <f t="shared" si="16"/>
        <v>28558.333333333332</v>
      </c>
      <c r="AR11" s="69">
        <f t="shared" si="17"/>
        <v>6.5188211263495814</v>
      </c>
      <c r="AS11" s="70">
        <f t="shared" si="18"/>
        <v>2</v>
      </c>
      <c r="AT11" s="73">
        <f t="shared" si="19"/>
        <v>16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13000</v>
      </c>
      <c r="E12" s="54">
        <v>11560</v>
      </c>
      <c r="F12" s="54">
        <v>12000</v>
      </c>
      <c r="G12" s="54">
        <v>12000</v>
      </c>
      <c r="H12" s="54">
        <v>9000</v>
      </c>
      <c r="I12" s="54">
        <v>9000</v>
      </c>
      <c r="J12" s="54">
        <v>9000</v>
      </c>
      <c r="K12" s="54">
        <v>9000</v>
      </c>
      <c r="L12" s="54">
        <v>14000</v>
      </c>
      <c r="M12" s="54">
        <v>14000</v>
      </c>
      <c r="N12" s="54">
        <v>14000</v>
      </c>
      <c r="O12" s="54">
        <v>14000</v>
      </c>
      <c r="P12" s="54">
        <v>16230</v>
      </c>
      <c r="Q12" s="54">
        <v>16000</v>
      </c>
      <c r="R12" s="54">
        <v>15950</v>
      </c>
      <c r="S12" s="55">
        <v>15825</v>
      </c>
      <c r="T12" s="64">
        <v>40000</v>
      </c>
      <c r="U12" s="64">
        <v>40000</v>
      </c>
      <c r="V12" s="64">
        <v>39850</v>
      </c>
      <c r="W12" s="64">
        <v>43000</v>
      </c>
      <c r="X12" s="64">
        <v>28000</v>
      </c>
      <c r="Y12" s="64">
        <v>27375</v>
      </c>
      <c r="Z12" s="64">
        <v>30300</v>
      </c>
      <c r="AA12" s="55">
        <v>30420</v>
      </c>
      <c r="AB12" s="68">
        <f t="shared" si="1"/>
        <v>12186.666666666666</v>
      </c>
      <c r="AC12" s="69">
        <f t="shared" si="2"/>
        <v>-1.5317286652078725</v>
      </c>
      <c r="AD12" s="70">
        <f t="shared" si="3"/>
        <v>3</v>
      </c>
      <c r="AE12" s="68">
        <f t="shared" si="4"/>
        <v>9000</v>
      </c>
      <c r="AF12" s="69">
        <f t="shared" si="5"/>
        <v>0</v>
      </c>
      <c r="AG12" s="70">
        <f t="shared" si="6"/>
        <v>3</v>
      </c>
      <c r="AH12" s="68">
        <f t="shared" si="7"/>
        <v>14000</v>
      </c>
      <c r="AI12" s="69">
        <f t="shared" si="8"/>
        <v>0</v>
      </c>
      <c r="AJ12" s="70">
        <f t="shared" si="9"/>
        <v>3</v>
      </c>
      <c r="AK12" s="68">
        <f t="shared" si="10"/>
        <v>16060</v>
      </c>
      <c r="AL12" s="69">
        <f t="shared" si="11"/>
        <v>-1.4632627646326275</v>
      </c>
      <c r="AM12" s="70">
        <f t="shared" si="12"/>
        <v>3</v>
      </c>
      <c r="AN12" s="68">
        <f t="shared" si="13"/>
        <v>39950</v>
      </c>
      <c r="AO12" s="69">
        <f t="shared" si="14"/>
        <v>7.6345431789737166</v>
      </c>
      <c r="AP12" s="70">
        <f t="shared" si="15"/>
        <v>2</v>
      </c>
      <c r="AQ12" s="68">
        <f t="shared" si="16"/>
        <v>28558.333333333332</v>
      </c>
      <c r="AR12" s="69">
        <f t="shared" si="17"/>
        <v>6.5188211263495814</v>
      </c>
      <c r="AS12" s="70">
        <f t="shared" si="18"/>
        <v>2</v>
      </c>
      <c r="AT12" s="73">
        <f t="shared" si="19"/>
        <v>16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13000</v>
      </c>
      <c r="E13" s="54">
        <v>11560</v>
      </c>
      <c r="F13" s="54">
        <v>12000</v>
      </c>
      <c r="G13" s="54">
        <v>12000</v>
      </c>
      <c r="H13" s="54">
        <v>9000</v>
      </c>
      <c r="I13" s="54">
        <v>9000</v>
      </c>
      <c r="J13" s="54">
        <v>9000</v>
      </c>
      <c r="K13" s="54">
        <v>9000</v>
      </c>
      <c r="L13" s="54">
        <v>14000</v>
      </c>
      <c r="M13" s="54">
        <v>14000</v>
      </c>
      <c r="N13" s="54">
        <v>14000</v>
      </c>
      <c r="O13" s="54">
        <v>14000</v>
      </c>
      <c r="P13" s="54">
        <v>16230</v>
      </c>
      <c r="Q13" s="54">
        <v>16000</v>
      </c>
      <c r="R13" s="54">
        <v>15950</v>
      </c>
      <c r="S13" s="55">
        <v>15825</v>
      </c>
      <c r="T13" s="64">
        <v>40000</v>
      </c>
      <c r="U13" s="64">
        <v>40000</v>
      </c>
      <c r="V13" s="64">
        <v>39850</v>
      </c>
      <c r="W13" s="64">
        <v>43000</v>
      </c>
      <c r="X13" s="64">
        <v>28000</v>
      </c>
      <c r="Y13" s="64">
        <v>27375</v>
      </c>
      <c r="Z13" s="64">
        <v>30300</v>
      </c>
      <c r="AA13" s="55">
        <v>30420</v>
      </c>
      <c r="AB13" s="68">
        <f t="shared" si="1"/>
        <v>12186.666666666666</v>
      </c>
      <c r="AC13" s="69">
        <f t="shared" si="2"/>
        <v>-1.5317286652078725</v>
      </c>
      <c r="AD13" s="70">
        <f t="shared" si="3"/>
        <v>3</v>
      </c>
      <c r="AE13" s="68">
        <f t="shared" si="4"/>
        <v>9000</v>
      </c>
      <c r="AF13" s="69">
        <f t="shared" si="5"/>
        <v>0</v>
      </c>
      <c r="AG13" s="70">
        <f t="shared" si="6"/>
        <v>3</v>
      </c>
      <c r="AH13" s="68">
        <f t="shared" si="7"/>
        <v>14000</v>
      </c>
      <c r="AI13" s="69">
        <f t="shared" si="8"/>
        <v>0</v>
      </c>
      <c r="AJ13" s="70">
        <f t="shared" si="9"/>
        <v>3</v>
      </c>
      <c r="AK13" s="68">
        <f t="shared" si="10"/>
        <v>16060</v>
      </c>
      <c r="AL13" s="69">
        <f t="shared" si="11"/>
        <v>-1.4632627646326275</v>
      </c>
      <c r="AM13" s="70">
        <f t="shared" si="12"/>
        <v>3</v>
      </c>
      <c r="AN13" s="68">
        <f t="shared" si="13"/>
        <v>39950</v>
      </c>
      <c r="AO13" s="69">
        <f t="shared" si="14"/>
        <v>7.6345431789737166</v>
      </c>
      <c r="AP13" s="70">
        <f t="shared" si="15"/>
        <v>2</v>
      </c>
      <c r="AQ13" s="68">
        <f t="shared" si="16"/>
        <v>28558.333333333332</v>
      </c>
      <c r="AR13" s="69">
        <f t="shared" si="17"/>
        <v>6.5188211263495814</v>
      </c>
      <c r="AS13" s="70">
        <f t="shared" si="18"/>
        <v>2</v>
      </c>
      <c r="AT13" s="73">
        <f t="shared" si="19"/>
        <v>16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41" t="str">
        <f>B3&amp;" "&amp;B6</f>
        <v>KOTA CILEGON</v>
      </c>
      <c r="B14" s="141"/>
      <c r="C14" s="141"/>
      <c r="D14" s="98">
        <f t="shared" ref="D14:AA14" si="22">AVERAGE(D6:D13)</f>
        <v>13000</v>
      </c>
      <c r="E14" s="98">
        <f t="shared" si="22"/>
        <v>11560</v>
      </c>
      <c r="F14" s="98">
        <f t="shared" si="22"/>
        <v>12000</v>
      </c>
      <c r="G14" s="98">
        <f t="shared" si="22"/>
        <v>12000</v>
      </c>
      <c r="H14" s="98">
        <f t="shared" si="22"/>
        <v>9000</v>
      </c>
      <c r="I14" s="98">
        <f t="shared" si="22"/>
        <v>9000</v>
      </c>
      <c r="J14" s="98">
        <f t="shared" si="22"/>
        <v>9000</v>
      </c>
      <c r="K14" s="98">
        <f t="shared" si="22"/>
        <v>9000</v>
      </c>
      <c r="L14" s="98">
        <f t="shared" si="22"/>
        <v>14000</v>
      </c>
      <c r="M14" s="98">
        <f t="shared" si="22"/>
        <v>14000</v>
      </c>
      <c r="N14" s="98">
        <f t="shared" si="22"/>
        <v>14000</v>
      </c>
      <c r="O14" s="98">
        <f t="shared" si="22"/>
        <v>14000</v>
      </c>
      <c r="P14" s="98">
        <f t="shared" si="22"/>
        <v>16230</v>
      </c>
      <c r="Q14" s="98">
        <f t="shared" si="22"/>
        <v>16000</v>
      </c>
      <c r="R14" s="98">
        <f t="shared" si="22"/>
        <v>15950</v>
      </c>
      <c r="S14" s="98">
        <f t="shared" si="22"/>
        <v>15825</v>
      </c>
      <c r="T14" s="98">
        <f t="shared" si="22"/>
        <v>40000</v>
      </c>
      <c r="U14" s="98">
        <f t="shared" si="22"/>
        <v>40000</v>
      </c>
      <c r="V14" s="98">
        <f t="shared" si="22"/>
        <v>39850</v>
      </c>
      <c r="W14" s="98">
        <f t="shared" si="22"/>
        <v>43000</v>
      </c>
      <c r="X14" s="98">
        <f t="shared" si="22"/>
        <v>28000</v>
      </c>
      <c r="Y14" s="98">
        <f t="shared" si="22"/>
        <v>27375</v>
      </c>
      <c r="Z14" s="98">
        <f t="shared" si="22"/>
        <v>30300</v>
      </c>
      <c r="AA14" s="98">
        <f t="shared" si="22"/>
        <v>30420</v>
      </c>
      <c r="AB14" s="95">
        <f t="shared" si="1"/>
        <v>12186.666666666666</v>
      </c>
      <c r="AC14" s="96">
        <f t="shared" si="2"/>
        <v>-1.5317286652078725</v>
      </c>
      <c r="AD14" s="97">
        <f t="shared" si="3"/>
        <v>3</v>
      </c>
      <c r="AE14" s="95">
        <f t="shared" si="4"/>
        <v>9000</v>
      </c>
      <c r="AF14" s="96">
        <f t="shared" si="5"/>
        <v>0</v>
      </c>
      <c r="AG14" s="97">
        <f t="shared" si="6"/>
        <v>3</v>
      </c>
      <c r="AH14" s="95">
        <f t="shared" si="7"/>
        <v>14000</v>
      </c>
      <c r="AI14" s="96">
        <f t="shared" si="8"/>
        <v>0</v>
      </c>
      <c r="AJ14" s="97">
        <f t="shared" si="9"/>
        <v>3</v>
      </c>
      <c r="AK14" s="95">
        <f t="shared" si="10"/>
        <v>16060</v>
      </c>
      <c r="AL14" s="96">
        <f t="shared" si="11"/>
        <v>-1.4632627646326275</v>
      </c>
      <c r="AM14" s="97">
        <f t="shared" si="12"/>
        <v>3</v>
      </c>
      <c r="AN14" s="95">
        <f t="shared" si="13"/>
        <v>39950</v>
      </c>
      <c r="AO14" s="96">
        <f t="shared" si="14"/>
        <v>7.6345431789737166</v>
      </c>
      <c r="AP14" s="97">
        <f t="shared" si="15"/>
        <v>2</v>
      </c>
      <c r="AQ14" s="95">
        <f t="shared" si="16"/>
        <v>28558.333333333332</v>
      </c>
      <c r="AR14" s="96">
        <f t="shared" si="17"/>
        <v>6.5188211263495814</v>
      </c>
      <c r="AS14" s="97">
        <f t="shared" si="18"/>
        <v>2</v>
      </c>
      <c r="AT14" s="71">
        <f t="shared" si="19"/>
        <v>16</v>
      </c>
      <c r="AU14" s="71" t="str">
        <f t="shared" si="20"/>
        <v>AMAN</v>
      </c>
      <c r="AV14" s="71" t="str">
        <f t="shared" si="21"/>
        <v>3</v>
      </c>
    </row>
  </sheetData>
  <mergeCells count="42"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</mergeCells>
  <conditionalFormatting sqref="AU6:AU14">
    <cfRule type="cellIs" dxfId="14" priority="1" operator="equal">
      <formula>"RENTAN"</formula>
    </cfRule>
    <cfRule type="cellIs" dxfId="13" priority="2" operator="equal">
      <formula>"WASPADA"</formula>
    </cfRule>
    <cfRule type="cellIs" dxfId="12" priority="3" operator="equal">
      <formula>"AMAN"</formula>
    </cfRule>
    <cfRule type="cellIs" dxfId="11" priority="4" operator="equal">
      <formula>"RENTAN"</formula>
    </cfRule>
    <cfRule type="cellIs" dxfId="10" priority="5" operator="equal">
      <formula>"WASPADA"</formula>
    </cfRule>
    <cfRule type="cellIs" dxfId="9" priority="6" operator="equal">
      <formula>"AMAN"</formula>
    </cfRule>
  </conditionalFormatting>
  <pageMargins left="0.69930555555555596" right="0.69930555555555596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4"/>
  <sheetViews>
    <sheetView showGridLines="0" tabSelected="1" zoomScale="85" zoomScaleNormal="85" workbookViewId="0">
      <pane xSplit="3" ySplit="6" topLeftCell="D7" activePane="bottomRight" state="frozen"/>
      <selection pane="topRight"/>
      <selection pane="bottomLeft"/>
      <selection pane="bottomRight" activeCell="E21" sqref="E21"/>
    </sheetView>
  </sheetViews>
  <sheetFormatPr defaultColWidth="9" defaultRowHeight="15" x14ac:dyDescent="0.25"/>
  <cols>
    <col min="1" max="1" width="8.7109375" bestFit="1" customWidth="1"/>
    <col min="2" max="2" width="12.140625" customWidth="1"/>
    <col min="3" max="3" width="17.42578125" customWidth="1"/>
    <col min="4" max="4" width="14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56" t="s">
        <v>584</v>
      </c>
      <c r="B1" s="156"/>
      <c r="C1" s="156"/>
      <c r="D1" s="37"/>
      <c r="E1" s="37"/>
      <c r="F1" s="37"/>
      <c r="G1" s="37"/>
      <c r="H1" s="37"/>
      <c r="I1" s="37"/>
    </row>
    <row r="2" spans="1:12" ht="18.75" x14ac:dyDescent="0.3">
      <c r="A2" s="111">
        <f>SUM(IK!E1)</f>
        <v>45444</v>
      </c>
      <c r="B2" s="36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26" t="s">
        <v>3</v>
      </c>
      <c r="B4" s="126" t="s">
        <v>609</v>
      </c>
      <c r="C4" s="126" t="s">
        <v>610</v>
      </c>
      <c r="D4" s="157" t="s">
        <v>585</v>
      </c>
      <c r="E4" s="157" t="s">
        <v>586</v>
      </c>
      <c r="F4" s="157" t="s">
        <v>587</v>
      </c>
      <c r="G4" s="157" t="s">
        <v>588</v>
      </c>
      <c r="H4" s="157" t="s">
        <v>589</v>
      </c>
      <c r="I4" s="126" t="s">
        <v>590</v>
      </c>
      <c r="J4" s="126" t="s">
        <v>591</v>
      </c>
      <c r="K4" s="126"/>
      <c r="L4" s="126"/>
    </row>
    <row r="5" spans="1:12" s="34" customFormat="1" ht="30" customHeight="1" x14ac:dyDescent="0.25">
      <c r="A5" s="126"/>
      <c r="B5" s="126"/>
      <c r="C5" s="126"/>
      <c r="D5" s="157"/>
      <c r="E5" s="157"/>
      <c r="F5" s="157"/>
      <c r="G5" s="157"/>
      <c r="H5" s="157"/>
      <c r="I5" s="126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42</v>
      </c>
      <c r="E6" s="40">
        <v>144</v>
      </c>
      <c r="F6" s="40">
        <v>3519</v>
      </c>
      <c r="G6" s="40">
        <v>186</v>
      </c>
      <c r="H6" s="41">
        <f t="shared" ref="H6:H14" si="0">D6+E6</f>
        <v>186</v>
      </c>
      <c r="I6" s="41">
        <f t="shared" ref="I6:I14" si="1">SUM(D6:G6)</f>
        <v>3891</v>
      </c>
      <c r="J6" s="43">
        <f t="shared" ref="J6:J14" si="2">IF(ISERROR((H6/I6)*100),0,((H6/I6)*100))</f>
        <v>4.7802621434078647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36</v>
      </c>
      <c r="E7" s="40">
        <v>185</v>
      </c>
      <c r="F7" s="40">
        <v>4810</v>
      </c>
      <c r="G7" s="40">
        <v>293</v>
      </c>
      <c r="H7" s="41">
        <f t="shared" si="0"/>
        <v>221</v>
      </c>
      <c r="I7" s="41">
        <f t="shared" si="1"/>
        <v>5324</v>
      </c>
      <c r="J7" s="43">
        <f t="shared" si="2"/>
        <v>4.1510142749812173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32</v>
      </c>
      <c r="E8" s="40">
        <v>166</v>
      </c>
      <c r="F8" s="40">
        <v>3232</v>
      </c>
      <c r="G8" s="40">
        <v>193</v>
      </c>
      <c r="H8" s="41">
        <f t="shared" si="0"/>
        <v>198</v>
      </c>
      <c r="I8" s="41">
        <f t="shared" si="1"/>
        <v>3623</v>
      </c>
      <c r="J8" s="43">
        <f t="shared" si="2"/>
        <v>5.465084184377587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11</v>
      </c>
      <c r="E9" s="40">
        <v>57</v>
      </c>
      <c r="F9" s="40">
        <v>2530</v>
      </c>
      <c r="G9" s="40">
        <v>115</v>
      </c>
      <c r="H9" s="41">
        <f t="shared" si="0"/>
        <v>68</v>
      </c>
      <c r="I9" s="41">
        <f t="shared" si="1"/>
        <v>2713</v>
      </c>
      <c r="J9" s="43">
        <f t="shared" si="2"/>
        <v>2.5064504238849983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32</v>
      </c>
      <c r="E10" s="40">
        <v>165</v>
      </c>
      <c r="F10" s="40">
        <v>2192</v>
      </c>
      <c r="G10" s="40">
        <v>213</v>
      </c>
      <c r="H10" s="41">
        <f t="shared" si="0"/>
        <v>197</v>
      </c>
      <c r="I10" s="41">
        <f t="shared" si="1"/>
        <v>2602</v>
      </c>
      <c r="J10" s="43">
        <f t="shared" si="2"/>
        <v>7.5710991544965411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20</v>
      </c>
      <c r="E11" s="40">
        <v>111</v>
      </c>
      <c r="F11" s="40">
        <v>3093</v>
      </c>
      <c r="G11" s="40">
        <v>139</v>
      </c>
      <c r="H11" s="41">
        <f t="shared" si="0"/>
        <v>131</v>
      </c>
      <c r="I11" s="41">
        <f t="shared" si="1"/>
        <v>3363</v>
      </c>
      <c r="J11" s="43">
        <f t="shared" si="2"/>
        <v>3.8953315492120133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23</v>
      </c>
      <c r="E12" s="40">
        <v>117</v>
      </c>
      <c r="F12" s="40">
        <v>4432</v>
      </c>
      <c r="G12" s="40">
        <v>125</v>
      </c>
      <c r="H12" s="41">
        <f t="shared" si="0"/>
        <v>140</v>
      </c>
      <c r="I12" s="41">
        <f t="shared" si="1"/>
        <v>4697</v>
      </c>
      <c r="J12" s="43">
        <f t="shared" si="2"/>
        <v>2.9806259314456036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41</v>
      </c>
      <c r="E13" s="40">
        <v>181</v>
      </c>
      <c r="F13" s="40">
        <v>3824</v>
      </c>
      <c r="G13" s="40">
        <v>71</v>
      </c>
      <c r="H13" s="41">
        <f t="shared" si="0"/>
        <v>222</v>
      </c>
      <c r="I13" s="41">
        <f t="shared" si="1"/>
        <v>4117</v>
      </c>
      <c r="J13" s="43">
        <f t="shared" si="2"/>
        <v>5.392275929074569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55" t="str">
        <f>B4&amp;" "&amp;B6</f>
        <v>KOTA CILEGON</v>
      </c>
      <c r="B14" s="155"/>
      <c r="C14" s="155"/>
      <c r="D14" s="101">
        <f>SUM(D6:D13)</f>
        <v>237</v>
      </c>
      <c r="E14" s="101">
        <f>SUM(E6:E13)</f>
        <v>1126</v>
      </c>
      <c r="F14" s="101">
        <f>SUM(F6:F13)</f>
        <v>27632</v>
      </c>
      <c r="G14" s="101">
        <f>SUM(G6:G13)</f>
        <v>1335</v>
      </c>
      <c r="H14" s="42">
        <f t="shared" si="0"/>
        <v>1363</v>
      </c>
      <c r="I14" s="42">
        <f t="shared" si="1"/>
        <v>30330</v>
      </c>
      <c r="J14" s="99">
        <f t="shared" si="2"/>
        <v>4.4939004286185291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</sheetData>
  <mergeCells count="12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conditionalFormatting sqref="L6:L14">
    <cfRule type="cellIs" dxfId="8" priority="4" operator="equal">
      <formula>"Aman"</formula>
    </cfRule>
    <cfRule type="cellIs" dxfId="7" priority="5" operator="equal">
      <formula>"Waspada"</formula>
    </cfRule>
    <cfRule type="cellIs" dxfId="6" priority="6" operator="equal">
      <formula>"Rentan"</formula>
    </cfRule>
  </conditionalFormatting>
  <pageMargins left="0.69930555555555596" right="0.69930555555555596" top="0.75" bottom="0.75" header="0.3" footer="0.3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12"/>
  <sheetViews>
    <sheetView showGridLines="0" zoomScale="85" zoomScaleNormal="85" workbookViewId="0">
      <pane xSplit="3" ySplit="3" topLeftCell="D4" activePane="bottomRight" state="frozen"/>
      <selection pane="topRight"/>
      <selection pane="bottomLeft"/>
      <selection pane="bottomRight" activeCell="C17" sqref="C17"/>
    </sheetView>
  </sheetViews>
  <sheetFormatPr defaultColWidth="9" defaultRowHeight="15" x14ac:dyDescent="0.25"/>
  <cols>
    <col min="1" max="1" width="6.85546875" style="26" bestFit="1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58" t="s">
        <v>592</v>
      </c>
      <c r="B1" s="158"/>
      <c r="C1" s="158"/>
      <c r="D1" s="158"/>
      <c r="E1" s="158"/>
      <c r="F1" s="158"/>
    </row>
    <row r="2" spans="1:9" ht="20.100000000000001" customHeight="1" x14ac:dyDescent="0.25">
      <c r="A2" s="112">
        <f>SUM(IK!E1)</f>
        <v>45444</v>
      </c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3</v>
      </c>
      <c r="F6" s="30">
        <f>IP!K8</f>
        <v>3</v>
      </c>
      <c r="G6" s="31">
        <f t="shared" si="0"/>
        <v>8</v>
      </c>
      <c r="H6" s="31" t="str">
        <f t="shared" si="1"/>
        <v>AMAN</v>
      </c>
      <c r="I6" s="30" t="str">
        <f t="shared" si="2"/>
        <v>3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3</v>
      </c>
      <c r="F8" s="30">
        <f>IP!K10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59" t="str">
        <f>B3&amp;" "&amp;B4</f>
        <v>KOTA CILEGON</v>
      </c>
      <c r="B12" s="159"/>
      <c r="C12" s="159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</sheetData>
  <mergeCells count="2">
    <mergeCell ref="A1:F1"/>
    <mergeCell ref="A12:C12"/>
  </mergeCells>
  <conditionalFormatting sqref="H4:H12">
    <cfRule type="expression" dxfId="5" priority="1" stopIfTrue="1">
      <formula>$H4="Rentan"</formula>
    </cfRule>
    <cfRule type="expression" dxfId="4" priority="2" stopIfTrue="1">
      <formula>$H4="Waspada"</formula>
    </cfRule>
    <cfRule type="expression" dxfId="3" priority="3" stopIfTrue="1">
      <formula>$H4="Aman"</formula>
    </cfRule>
    <cfRule type="expression" dxfId="2" priority="16" stopIfTrue="1">
      <formula>$H4="Rentan"</formula>
    </cfRule>
    <cfRule type="expression" dxfId="1" priority="17" stopIfTrue="1">
      <formula>$H4="Waspada"</formula>
    </cfRule>
    <cfRule type="expression" dxfId="0" priority="18" stopIfTrue="1">
      <formula>$H4="Aman"</formula>
    </cfRule>
  </conditionalFormatting>
  <pageMargins left="0.69930555555555596" right="0.69930555555555596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D18" sqref="D18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13" t="s">
        <v>0</v>
      </c>
      <c r="B1" s="113"/>
      <c r="C1" s="113"/>
    </row>
    <row r="2" spans="1:21" x14ac:dyDescent="0.25">
      <c r="A2" s="118" t="s">
        <v>3</v>
      </c>
      <c r="B2" s="118" t="s">
        <v>4</v>
      </c>
      <c r="C2" s="118" t="s">
        <v>5</v>
      </c>
      <c r="D2" s="160" t="s">
        <v>600</v>
      </c>
      <c r="E2" s="160"/>
      <c r="F2" s="160"/>
      <c r="G2" s="160" t="s">
        <v>601</v>
      </c>
      <c r="H2" s="160"/>
      <c r="I2" s="160"/>
      <c r="J2" s="160" t="s">
        <v>602</v>
      </c>
      <c r="K2" s="160"/>
      <c r="L2" s="160"/>
      <c r="M2" s="160" t="s">
        <v>603</v>
      </c>
      <c r="N2" s="160"/>
      <c r="O2" s="160"/>
      <c r="P2" s="160" t="s">
        <v>604</v>
      </c>
      <c r="Q2" s="160"/>
      <c r="R2" s="160"/>
      <c r="S2" s="160" t="s">
        <v>605</v>
      </c>
      <c r="T2" s="160"/>
      <c r="U2" s="160"/>
    </row>
    <row r="3" spans="1:21" ht="30" customHeight="1" x14ac:dyDescent="0.25">
      <c r="A3" s="118"/>
      <c r="B3" s="118"/>
      <c r="C3" s="118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P2:R2"/>
    <mergeCell ref="S2:U2"/>
    <mergeCell ref="A2:A3"/>
    <mergeCell ref="B2:B3"/>
    <mergeCell ref="C2:C3"/>
    <mergeCell ref="A1:C1"/>
    <mergeCell ref="D2:F2"/>
    <mergeCell ref="G2:I2"/>
    <mergeCell ref="J2:L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IK</vt:lpstr>
      <vt:lpstr>IA</vt:lpstr>
      <vt:lpstr>IP</vt:lpstr>
      <vt:lpstr>IKB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2024-12-10T02:06:22Z</cp:lastPrinted>
  <dcterms:created xsi:type="dcterms:W3CDTF">2020-10-28T09:58:00Z</dcterms:created>
  <dcterms:modified xsi:type="dcterms:W3CDTF">2024-12-10T02:06:29Z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