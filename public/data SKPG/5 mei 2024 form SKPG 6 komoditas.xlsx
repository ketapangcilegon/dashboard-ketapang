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6372EA4F-7714-40B6-89BA-68B046034EA5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Sheet1" sheetId="9" r:id="rId5"/>
    <sheet name="Sheet2" sheetId="10" state="hidden" r:id="rId6"/>
  </sheets>
  <definedNames>
    <definedName name="_xlnm._FilterDatabase" localSheetId="1" hidden="1">IA!$A$5:$AV$13</definedName>
    <definedName name="_xlnm._FilterDatabase" localSheetId="0" hidden="1">IK!$A$5:$Z$38</definedName>
    <definedName name="_xlnm._FilterDatabase" localSheetId="3" hidden="1">IKB!$A$5:$I$13</definedName>
    <definedName name="_xlnm._FilterDatabase" localSheetId="2" hidden="1">IP!$A$5:$L$13</definedName>
    <definedName name="_xlnm._FilterDatabase" localSheetId="5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14" i="4" l="1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8" i="1" l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G14" i="3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F14" i="2"/>
  <c r="G14" i="2"/>
  <c r="H14" i="2"/>
  <c r="AE14" i="2" s="1"/>
  <c r="I14" i="2"/>
  <c r="J14" i="2"/>
  <c r="K14" i="2"/>
  <c r="L14" i="2"/>
  <c r="AH14" i="2" s="1"/>
  <c r="M14" i="2"/>
  <c r="N14" i="2"/>
  <c r="O14" i="2"/>
  <c r="P14" i="2"/>
  <c r="AK14" i="2" s="1"/>
  <c r="Q14" i="2"/>
  <c r="R14" i="2"/>
  <c r="S14" i="2"/>
  <c r="T14" i="2"/>
  <c r="AN14" i="2" s="1"/>
  <c r="U14" i="2"/>
  <c r="V14" i="2"/>
  <c r="W14" i="2"/>
  <c r="D14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K5" i="2" s="1"/>
  <c r="O5" i="2" s="1"/>
  <c r="S5" i="2" s="1"/>
  <c r="W5" i="2" s="1"/>
  <c r="AA5" i="2" s="1"/>
  <c r="F5" i="2"/>
  <c r="J5" i="2" s="1"/>
  <c r="N5" i="2" s="1"/>
  <c r="R5" i="2" s="1"/>
  <c r="V5" i="2" s="1"/>
  <c r="Z5" i="2" s="1"/>
  <c r="E5" i="2"/>
  <c r="I5" i="2" s="1"/>
  <c r="M5" i="2" s="1"/>
  <c r="Q5" i="2" s="1"/>
  <c r="U5" i="2" s="1"/>
  <c r="Y5" i="2" s="1"/>
  <c r="D5" i="2"/>
  <c r="H5" i="2" s="1"/>
  <c r="L5" i="2" s="1"/>
  <c r="P5" i="2" s="1"/>
  <c r="T5" i="2" s="1"/>
  <c r="X5" i="2" s="1"/>
  <c r="J10" i="3" l="1"/>
  <c r="K10" i="3" s="1"/>
  <c r="F10" i="4" s="1"/>
  <c r="AQ14" i="2"/>
  <c r="J11" i="3"/>
  <c r="K11" i="3" s="1"/>
  <c r="L11" i="3" s="1"/>
  <c r="J7" i="3"/>
  <c r="K7" i="3" s="1"/>
  <c r="L7" i="3" s="1"/>
  <c r="J13" i="3"/>
  <c r="K13" i="3" s="1"/>
  <c r="F13" i="4" s="1"/>
  <c r="J12" i="3"/>
  <c r="K12" i="3" s="1"/>
  <c r="L12" i="3" s="1"/>
  <c r="J8" i="3"/>
  <c r="K8" i="3" s="1"/>
  <c r="F8" i="4" s="1"/>
  <c r="J9" i="3"/>
  <c r="K9" i="3" s="1"/>
  <c r="F9" i="4" s="1"/>
  <c r="I14" i="3"/>
  <c r="AR14" i="2"/>
  <c r="AS14" i="2" s="1"/>
  <c r="AB14" i="2"/>
  <c r="L10" i="3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2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8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10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7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11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3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9" i="4" s="1"/>
  <c r="W36" i="1"/>
  <c r="W32" i="1"/>
  <c r="W28" i="1"/>
  <c r="W24" i="1"/>
  <c r="W20" i="1"/>
  <c r="W16" i="1"/>
  <c r="W12" i="1"/>
  <c r="W8" i="1"/>
  <c r="AT13" i="2"/>
  <c r="AU13" i="2" s="1"/>
  <c r="AV13" i="2" s="1"/>
  <c r="E13" i="4" s="1"/>
  <c r="AT9" i="2"/>
  <c r="AU9" i="2" s="1"/>
  <c r="AV9" i="2" s="1"/>
  <c r="E9" i="4" s="1"/>
  <c r="AT7" i="2"/>
  <c r="AU7" i="2" s="1"/>
  <c r="AV7" i="2" s="1"/>
  <c r="E7" i="4" s="1"/>
  <c r="AT11" i="2"/>
  <c r="AU11" i="2" s="1"/>
  <c r="AV11" i="2" s="1"/>
  <c r="E11" i="4" s="1"/>
  <c r="AT10" i="2"/>
  <c r="AU10" i="2" s="1"/>
  <c r="AV10" i="2" s="1"/>
  <c r="E10" i="4" s="1"/>
  <c r="AI14" i="2"/>
  <c r="AJ14" i="2" s="1"/>
  <c r="AT12" i="2"/>
  <c r="AU12" i="2" s="1"/>
  <c r="AV12" i="2" s="1"/>
  <c r="E12" i="4" s="1"/>
  <c r="AT8" i="2"/>
  <c r="AU8" i="2" s="1"/>
  <c r="AV8" i="2" s="1"/>
  <c r="E8" i="4" s="1"/>
  <c r="AO14" i="2"/>
  <c r="AP14" i="2" s="1"/>
  <c r="AL14" i="2"/>
  <c r="AM14" i="2" s="1"/>
  <c r="AF14" i="2"/>
  <c r="AG14" i="2" s="1"/>
  <c r="AC14" i="2"/>
  <c r="AD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F11" i="4" l="1"/>
  <c r="L8" i="3"/>
  <c r="F12" i="4"/>
  <c r="F7" i="4"/>
  <c r="G7" i="4" s="1"/>
  <c r="H7" i="4" s="1"/>
  <c r="I7" i="4" s="1"/>
  <c r="L9" i="3"/>
  <c r="L13" i="3"/>
  <c r="J14" i="3"/>
  <c r="K14" i="3" s="1"/>
  <c r="L14" i="3" s="1"/>
  <c r="G12" i="4"/>
  <c r="H12" i="4" s="1"/>
  <c r="I12" i="4" s="1"/>
  <c r="G8" i="4"/>
  <c r="H8" i="4" s="1"/>
  <c r="I8" i="4" s="1"/>
  <c r="G9" i="4"/>
  <c r="H9" i="4" s="1"/>
  <c r="I9" i="4" s="1"/>
  <c r="X39" i="1"/>
  <c r="Y39" i="1" s="1"/>
  <c r="Z39" i="1" s="1"/>
  <c r="D14" i="4" s="1"/>
  <c r="W39" i="1"/>
  <c r="G13" i="4"/>
  <c r="H13" i="4" s="1"/>
  <c r="I13" i="4" s="1"/>
  <c r="G11" i="4"/>
  <c r="H11" i="4" s="1"/>
  <c r="I11" i="4" s="1"/>
  <c r="G10" i="4"/>
  <c r="H10" i="4" s="1"/>
  <c r="I10" i="4" s="1"/>
  <c r="AT14" i="2"/>
  <c r="AU14" i="2" s="1"/>
  <c r="AV14" i="2" s="1"/>
  <c r="E14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F14" i="4" l="1"/>
  <c r="G14" i="4"/>
  <c r="H14" i="4" s="1"/>
  <c r="I14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6" i="4"/>
  <c r="E167" i="10"/>
  <c r="F167" i="10" s="1"/>
  <c r="E413" i="10"/>
  <c r="F413" i="10" s="1"/>
  <c r="E552" i="10" l="1"/>
  <c r="F552" i="10" s="1"/>
  <c r="AU6" i="2" l="1"/>
  <c r="Z6" i="1"/>
  <c r="D6" i="4" l="1"/>
  <c r="AV6" i="2"/>
  <c r="E6" i="4" l="1"/>
  <c r="G6" i="4" l="1"/>
  <c r="H6" i="4" s="1"/>
  <c r="I6" i="4" l="1"/>
</calcChain>
</file>

<file path=xl/sharedStrings.xml><?xml version="1.0" encoding="utf-8"?>
<sst xmlns="http://schemas.openxmlformats.org/spreadsheetml/2006/main" count="1216" uniqueCount="619">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</sst>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</numFmts>
  <fonts count="36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5">
    <xf numFmtId="0" fontId="0" fillId="0" borderId="0"/>
    <xf numFmtId="43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20" fillId="20" borderId="0" applyNumberFormat="0" applyBorder="0" applyAlignment="0" applyProtection="0"/>
    <xf numFmtId="0" fontId="11" fillId="6" borderId="0" applyNumberFormat="0" applyBorder="0" applyAlignment="0" applyProtection="0"/>
    <xf numFmtId="0" fontId="21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22" borderId="0" applyNumberFormat="0" applyBorder="0" applyAlignment="0" applyProtection="0"/>
    <xf numFmtId="0" fontId="20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5" borderId="0" applyNumberFormat="0" applyBorder="0" applyAlignment="0" applyProtection="0"/>
    <xf numFmtId="0" fontId="20" fillId="19" borderId="0" applyNumberFormat="0" applyBorder="0" applyAlignment="0" applyProtection="0"/>
    <xf numFmtId="0" fontId="11" fillId="23" borderId="0" applyNumberFormat="0" applyBorder="0" applyAlignment="0" applyProtection="0"/>
    <xf numFmtId="0" fontId="20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18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1" borderId="0" applyNumberFormat="0" applyBorder="0" applyAlignment="0" applyProtection="0"/>
    <xf numFmtId="0" fontId="22" fillId="29" borderId="0" applyNumberFormat="0" applyBorder="0" applyAlignment="0" applyProtection="0"/>
    <xf numFmtId="0" fontId="11" fillId="20" borderId="0" applyNumberFormat="0" applyBorder="0" applyAlignment="0" applyProtection="0"/>
    <xf numFmtId="0" fontId="20" fillId="24" borderId="0" applyNumberFormat="0" applyBorder="0" applyAlignment="0" applyProtection="0"/>
    <xf numFmtId="0" fontId="11" fillId="24" borderId="0" applyNumberFormat="0" applyBorder="0" applyAlignment="0" applyProtection="0"/>
    <xf numFmtId="0" fontId="20" fillId="30" borderId="0" applyNumberFormat="0" applyBorder="0" applyAlignment="0" applyProtection="0"/>
    <xf numFmtId="0" fontId="11" fillId="30" borderId="0" applyNumberFormat="0" applyBorder="0" applyAlignment="0" applyProtection="0"/>
    <xf numFmtId="0" fontId="20" fillId="31" borderId="0" applyNumberFormat="0" applyBorder="0" applyAlignment="0" applyProtection="0"/>
    <xf numFmtId="0" fontId="11" fillId="31" borderId="0" applyNumberFormat="0" applyBorder="0" applyAlignment="0" applyProtection="0"/>
    <xf numFmtId="0" fontId="20" fillId="14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3" fillId="36" borderId="6" applyNumberFormat="0" applyAlignment="0" applyProtection="0"/>
    <xf numFmtId="0" fontId="11" fillId="0" borderId="0"/>
    <xf numFmtId="0" fontId="24" fillId="37" borderId="7" applyNumberFormat="0" applyAlignment="0" applyProtection="0"/>
    <xf numFmtId="41" fontId="19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38" borderId="0" applyNumberFormat="0" applyBorder="0" applyAlignment="0" applyProtection="0"/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30" fillId="39" borderId="6" applyNumberFormat="0" applyAlignment="0" applyProtection="0"/>
    <xf numFmtId="0" fontId="31" fillId="0" borderId="9" applyNumberFormat="0" applyFill="0" applyAlignment="0" applyProtection="0"/>
    <xf numFmtId="0" fontId="11" fillId="0" borderId="0"/>
    <xf numFmtId="0" fontId="11" fillId="0" borderId="0"/>
    <xf numFmtId="0" fontId="32" fillId="40" borderId="0" applyNumberFormat="0" applyBorder="0" applyAlignment="0" applyProtection="0"/>
    <xf numFmtId="0" fontId="33" fillId="40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4" fillId="36" borderId="8" applyNumberFormat="0" applyAlignment="0" applyProtection="0"/>
    <xf numFmtId="0" fontId="5" fillId="0" borderId="5" applyNumberFormat="0" applyFill="0" applyAlignment="0" applyProtection="0"/>
    <xf numFmtId="0" fontId="35" fillId="0" borderId="0" applyNumberForma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9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8" fontId="2" fillId="0" borderId="1" xfId="1" applyNumberFormat="1" applyFont="1" applyFill="1" applyBorder="1" applyAlignment="1">
      <alignment horizontal="center" vertical="center"/>
    </xf>
    <xf numFmtId="169" fontId="2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2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2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7" fillId="0" borderId="0" xfId="72" applyFont="1"/>
    <xf numFmtId="0" fontId="7" fillId="0" borderId="0" xfId="72" applyFont="1" applyAlignment="1">
      <alignment horizontal="center"/>
    </xf>
    <xf numFmtId="0" fontId="7" fillId="0" borderId="0" xfId="72" applyFont="1" applyAlignment="1">
      <alignment horizontal="center" vertical="center"/>
    </xf>
    <xf numFmtId="0" fontId="7" fillId="0" borderId="0" xfId="72" applyFont="1" applyAlignment="1">
      <alignment horizontal="center" vertical="center" wrapText="1"/>
    </xf>
    <xf numFmtId="0" fontId="7" fillId="0" borderId="1" xfId="72" applyFont="1" applyBorder="1" applyAlignment="1">
      <alignment horizontal="left"/>
    </xf>
    <xf numFmtId="166" fontId="7" fillId="0" borderId="1" xfId="72" applyNumberFormat="1" applyFont="1" applyBorder="1" applyAlignment="1">
      <alignment horizontal="center" vertical="center"/>
    </xf>
    <xf numFmtId="166" fontId="7" fillId="0" borderId="1" xfId="72" applyNumberFormat="1" applyFont="1" applyBorder="1" applyAlignment="1">
      <alignment horizontal="center" vertical="center" wrapText="1"/>
    </xf>
    <xf numFmtId="0" fontId="10" fillId="0" borderId="0" xfId="72" applyFont="1" applyAlignment="1">
      <alignment horizontal="left"/>
    </xf>
    <xf numFmtId="0" fontId="8" fillId="3" borderId="1" xfId="72" applyFont="1" applyFill="1" applyBorder="1" applyAlignment="1">
      <alignment horizontal="center" vertical="center"/>
    </xf>
    <xf numFmtId="0" fontId="8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1" fontId="12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7" fontId="8" fillId="5" borderId="1" xfId="0" applyNumberFormat="1" applyFont="1" applyFill="1" applyBorder="1" applyAlignment="1">
      <alignment horizontal="center" vertical="center"/>
    </xf>
    <xf numFmtId="17" fontId="8" fillId="6" borderId="1" xfId="0" applyNumberFormat="1" applyFont="1" applyFill="1" applyBorder="1" applyAlignment="1">
      <alignment horizontal="center" vertical="center"/>
    </xf>
    <xf numFmtId="171" fontId="14" fillId="0" borderId="1" xfId="1" applyNumberFormat="1" applyFont="1" applyFill="1" applyBorder="1" applyAlignment="1" applyProtection="1">
      <alignment horizontal="right"/>
      <protection locked="0"/>
    </xf>
    <xf numFmtId="171" fontId="15" fillId="0" borderId="1" xfId="2" applyNumberFormat="1" applyFont="1" applyFill="1" applyBorder="1" applyAlignment="1">
      <alignment horizontal="right" vertical="center"/>
    </xf>
    <xf numFmtId="17" fontId="8" fillId="6" borderId="1" xfId="0" applyNumberFormat="1" applyFont="1" applyFill="1" applyBorder="1" applyAlignment="1">
      <alignment horizontal="center" vertical="center" wrapText="1"/>
    </xf>
    <xf numFmtId="17" fontId="8" fillId="7" borderId="1" xfId="0" applyNumberFormat="1" applyFont="1" applyFill="1" applyBorder="1" applyAlignment="1">
      <alignment horizontal="center" vertical="center"/>
    </xf>
    <xf numFmtId="17" fontId="8" fillId="7" borderId="1" xfId="0" applyNumberFormat="1" applyFont="1" applyFill="1" applyBorder="1" applyAlignment="1">
      <alignment horizontal="center" vertical="center" wrapText="1"/>
    </xf>
    <xf numFmtId="17" fontId="16" fillId="8" borderId="1" xfId="0" applyNumberFormat="1" applyFont="1" applyFill="1" applyBorder="1" applyAlignment="1">
      <alignment horizontal="center" vertical="center"/>
    </xf>
    <xf numFmtId="17" fontId="16" fillId="8" borderId="1" xfId="0" applyNumberFormat="1" applyFont="1" applyFill="1" applyBorder="1" applyAlignment="1">
      <alignment horizontal="center" vertical="center" wrapText="1"/>
    </xf>
    <xf numFmtId="17" fontId="16" fillId="9" borderId="1" xfId="0" applyNumberFormat="1" applyFont="1" applyFill="1" applyBorder="1" applyAlignment="1">
      <alignment horizontal="center" vertical="center"/>
    </xf>
    <xf numFmtId="17" fontId="16" fillId="9" borderId="1" xfId="0" applyNumberFormat="1" applyFont="1" applyFill="1" applyBorder="1" applyAlignment="1">
      <alignment horizontal="center" vertical="center" wrapText="1"/>
    </xf>
    <xf numFmtId="17" fontId="8" fillId="10" borderId="1" xfId="0" applyNumberFormat="1" applyFont="1" applyFill="1" applyBorder="1" applyAlignment="1">
      <alignment horizontal="center" vertical="center"/>
    </xf>
    <xf numFmtId="41" fontId="7" fillId="0" borderId="1" xfId="2" applyNumberFormat="1" applyFont="1" applyFill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40" fontId="9" fillId="0" borderId="0" xfId="0" applyNumberFormat="1" applyFont="1" applyAlignment="1">
      <alignment horizontal="center" vertical="center"/>
    </xf>
    <xf numFmtId="17" fontId="8" fillId="10" borderId="1" xfId="0" applyNumberFormat="1" applyFont="1" applyFill="1" applyBorder="1" applyAlignment="1">
      <alignment horizontal="center" vertical="center" wrapText="1"/>
    </xf>
    <xf numFmtId="3" fontId="7" fillId="0" borderId="1" xfId="1" applyNumberFormat="1" applyFont="1" applyFill="1" applyBorder="1" applyAlignment="1">
      <alignment horizontal="right" vertical="center"/>
    </xf>
    <xf numFmtId="172" fontId="11" fillId="0" borderId="1" xfId="1" applyNumberFormat="1" applyFont="1" applyFill="1" applyBorder="1" applyAlignment="1">
      <alignment horizontal="center" vertical="center"/>
    </xf>
    <xf numFmtId="166" fontId="7" fillId="0" borderId="1" xfId="1" applyNumberFormat="1" applyFont="1" applyFill="1" applyBorder="1" applyAlignment="1">
      <alignment horizontal="center" vertical="center"/>
    </xf>
    <xf numFmtId="166" fontId="9" fillId="0" borderId="1" xfId="2" applyNumberFormat="1" applyFont="1" applyFill="1" applyBorder="1" applyAlignment="1">
      <alignment horizontal="center" vertical="center"/>
    </xf>
    <xf numFmtId="166" fontId="8" fillId="11" borderId="1" xfId="0" applyNumberFormat="1" applyFont="1" applyFill="1" applyBorder="1" applyAlignment="1">
      <alignment horizontal="center" vertical="center"/>
    </xf>
    <xf numFmtId="166" fontId="7" fillId="0" borderId="1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17" fontId="3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71" fontId="17" fillId="0" borderId="1" xfId="1" applyNumberFormat="1" applyFont="1" applyFill="1" applyBorder="1" applyAlignment="1" applyProtection="1">
      <alignment horizontal="right" vertical="center"/>
    </xf>
    <xf numFmtId="171" fontId="18" fillId="0" borderId="1" xfId="1" applyNumberFormat="1" applyFont="1" applyFill="1" applyBorder="1" applyAlignment="1" applyProtection="1">
      <alignment horizontal="right" vertical="center"/>
    </xf>
    <xf numFmtId="0" fontId="2" fillId="0" borderId="0" xfId="0" applyFont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173" fontId="2" fillId="0" borderId="1" xfId="1" applyNumberFormat="1" applyFont="1" applyFill="1" applyBorder="1" applyAlignment="1" applyProtection="1">
      <alignment horizontal="right" vertical="center"/>
    </xf>
    <xf numFmtId="171" fontId="2" fillId="0" borderId="1" xfId="1" applyNumberFormat="1" applyFont="1" applyFill="1" applyBorder="1" applyAlignment="1" applyProtection="1">
      <alignment horizontal="right" vertical="center"/>
    </xf>
    <xf numFmtId="171" fontId="2" fillId="0" borderId="1" xfId="1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66" fontId="2" fillId="0" borderId="1" xfId="3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1" fontId="2" fillId="0" borderId="0" xfId="0" applyNumberFormat="1" applyFont="1"/>
    <xf numFmtId="41" fontId="6" fillId="0" borderId="0" xfId="0" applyNumberFormat="1" applyFont="1"/>
    <xf numFmtId="3" fontId="9" fillId="0" borderId="1" xfId="1" applyNumberFormat="1" applyFont="1" applyFill="1" applyBorder="1" applyAlignment="1">
      <alignment horizontal="right" vertical="center"/>
    </xf>
    <xf numFmtId="172" fontId="5" fillId="0" borderId="1" xfId="1" applyNumberFormat="1" applyFont="1" applyFill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71" fontId="5" fillId="0" borderId="1" xfId="0" applyNumberFormat="1" applyFont="1" applyBorder="1" applyAlignment="1">
      <alignment vertical="center"/>
    </xf>
    <xf numFmtId="170" fontId="5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/>
    <xf numFmtId="171" fontId="6" fillId="0" borderId="1" xfId="0" applyNumberFormat="1" applyFont="1" applyBorder="1"/>
    <xf numFmtId="171" fontId="6" fillId="0" borderId="1" xfId="1" applyNumberFormat="1" applyFont="1" applyFill="1" applyBorder="1" applyAlignment="1">
      <alignment horizontal="center" vertical="center"/>
    </xf>
    <xf numFmtId="166" fontId="6" fillId="0" borderId="1" xfId="3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/>
    </xf>
    <xf numFmtId="166" fontId="9" fillId="0" borderId="1" xfId="72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3" fontId="8" fillId="4" borderId="1" xfId="0" applyNumberFormat="1" applyFont="1" applyFill="1" applyBorder="1" applyAlignment="1">
      <alignment horizontal="center" vertical="center"/>
    </xf>
    <xf numFmtId="40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40" fontId="8" fillId="4" borderId="4" xfId="0" applyNumberFormat="1" applyFont="1" applyFill="1" applyBorder="1" applyAlignment="1">
      <alignment horizontal="center" vertical="center" wrapText="1"/>
    </xf>
    <xf numFmtId="40" fontId="8" fillId="4" borderId="2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3" fontId="8" fillId="4" borderId="2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6" fontId="8" fillId="11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3" fontId="8" fillId="4" borderId="13" xfId="0" applyNumberFormat="1" applyFont="1" applyFill="1" applyBorder="1" applyAlignment="1">
      <alignment horizontal="center" vertical="center"/>
    </xf>
    <xf numFmtId="3" fontId="8" fillId="4" borderId="14" xfId="0" applyNumberFormat="1" applyFont="1" applyFill="1" applyBorder="1" applyAlignment="1">
      <alignment horizontal="center" vertical="center"/>
    </xf>
    <xf numFmtId="3" fontId="8" fillId="4" borderId="1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8" fillId="4" borderId="1" xfId="0" applyFont="1" applyFill="1" applyBorder="1" applyAlignment="1">
      <alignment horizontal="center" vertical="center" wrapText="1"/>
    </xf>
    <xf numFmtId="0" fontId="10" fillId="0" borderId="0" xfId="72" applyFont="1" applyAlignment="1">
      <alignment horizontal="left"/>
    </xf>
    <xf numFmtId="0" fontId="9" fillId="0" borderId="1" xfId="72" applyFont="1" applyBorder="1" applyAlignment="1">
      <alignment horizontal="center"/>
    </xf>
    <xf numFmtId="169" fontId="5" fillId="3" borderId="1" xfId="1" applyNumberFormat="1" applyFont="1" applyFill="1" applyBorder="1" applyAlignment="1">
      <alignment horizontal="center" vertical="center"/>
    </xf>
    <xf numFmtId="17" fontId="10" fillId="0" borderId="0" xfId="72" applyNumberFormat="1" applyFont="1" applyAlignment="1">
      <alignment horizontal="left"/>
    </xf>
  </cellXfs>
  <cellStyles count="95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1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D17" sqref="D17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8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11" t="s">
        <v>0</v>
      </c>
      <c r="B1" s="111"/>
      <c r="C1" s="111"/>
      <c r="D1" s="79" t="s">
        <v>1</v>
      </c>
      <c r="E1" s="80">
        <v>45413</v>
      </c>
      <c r="F1" s="81" t="s">
        <v>2</v>
      </c>
      <c r="G1" s="82"/>
      <c r="H1" s="82"/>
      <c r="I1" s="82"/>
      <c r="J1" s="82"/>
      <c r="K1" s="82"/>
      <c r="L1" s="82"/>
      <c r="M1" s="82"/>
      <c r="N1" s="82"/>
      <c r="O1" s="82"/>
      <c r="P1" s="86"/>
      <c r="Q1" s="86"/>
      <c r="R1" s="86"/>
      <c r="S1" s="86"/>
      <c r="T1" s="86"/>
      <c r="U1" s="86"/>
      <c r="V1" s="86"/>
      <c r="W1" s="86"/>
      <c r="X1" s="76"/>
      <c r="Y1" s="86"/>
      <c r="Z1" s="86"/>
      <c r="AA1" s="86"/>
      <c r="AB1" s="86"/>
    </row>
    <row r="2" spans="1:28" ht="18.75" x14ac:dyDescent="0.25">
      <c r="A2" s="112"/>
      <c r="B2" s="113"/>
      <c r="C2" s="112"/>
      <c r="D2" s="113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6"/>
      <c r="Q2" s="86"/>
      <c r="R2" s="86"/>
      <c r="S2" s="86"/>
      <c r="T2" s="86"/>
      <c r="U2" s="86"/>
      <c r="V2" s="86"/>
      <c r="W2" s="86"/>
      <c r="X2" s="76"/>
      <c r="Y2" s="86"/>
      <c r="Z2" s="86"/>
      <c r="AA2" s="86"/>
      <c r="AB2" s="86"/>
    </row>
    <row r="3" spans="1:28" s="76" customFormat="1" ht="18" customHeight="1" x14ac:dyDescent="0.25">
      <c r="A3" s="116" t="s">
        <v>3</v>
      </c>
      <c r="B3" s="116" t="s">
        <v>4</v>
      </c>
      <c r="C3" s="116" t="s">
        <v>5</v>
      </c>
      <c r="D3" s="114" t="s">
        <v>6</v>
      </c>
      <c r="E3" s="114"/>
      <c r="F3" s="114"/>
      <c r="G3" s="114"/>
      <c r="H3" s="114"/>
      <c r="I3" s="114"/>
      <c r="J3" s="115" t="s">
        <v>7</v>
      </c>
      <c r="K3" s="115"/>
      <c r="L3" s="115"/>
      <c r="M3" s="115"/>
      <c r="N3" s="115"/>
      <c r="O3" s="115"/>
      <c r="P3" s="114" t="s">
        <v>6</v>
      </c>
      <c r="Q3" s="114"/>
      <c r="R3" s="114"/>
      <c r="S3" s="114"/>
      <c r="T3" s="115" t="s">
        <v>7</v>
      </c>
      <c r="U3" s="115"/>
      <c r="V3" s="115"/>
      <c r="W3" s="115"/>
      <c r="X3" s="118" t="s">
        <v>8</v>
      </c>
      <c r="Y3" s="118"/>
      <c r="Z3" s="118"/>
    </row>
    <row r="4" spans="1:28" s="76" customFormat="1" ht="18" customHeight="1" x14ac:dyDescent="0.25">
      <c r="A4" s="116"/>
      <c r="B4" s="116"/>
      <c r="C4" s="116"/>
      <c r="D4" s="114" t="s">
        <v>9</v>
      </c>
      <c r="E4" s="114"/>
      <c r="F4" s="114"/>
      <c r="G4" s="114"/>
      <c r="H4" s="114"/>
      <c r="I4" s="119" t="s">
        <v>10</v>
      </c>
      <c r="J4" s="115" t="s">
        <v>9</v>
      </c>
      <c r="K4" s="115"/>
      <c r="L4" s="115"/>
      <c r="M4" s="115"/>
      <c r="N4" s="115"/>
      <c r="O4" s="120" t="s">
        <v>10</v>
      </c>
      <c r="P4" s="119" t="s">
        <v>11</v>
      </c>
      <c r="Q4" s="114" t="s">
        <v>12</v>
      </c>
      <c r="R4" s="114"/>
      <c r="S4" s="114"/>
      <c r="T4" s="120" t="s">
        <v>11</v>
      </c>
      <c r="U4" s="115" t="s">
        <v>12</v>
      </c>
      <c r="V4" s="115"/>
      <c r="W4" s="115"/>
      <c r="X4" s="118"/>
      <c r="Y4" s="118"/>
      <c r="Z4" s="118"/>
    </row>
    <row r="5" spans="1:28" s="76" customFormat="1" ht="18" customHeight="1" x14ac:dyDescent="0.25">
      <c r="A5" s="116"/>
      <c r="B5" s="116"/>
      <c r="C5" s="116"/>
      <c r="D5" s="83">
        <v>2018</v>
      </c>
      <c r="E5" s="83">
        <v>2019</v>
      </c>
      <c r="F5" s="83">
        <v>2020</v>
      </c>
      <c r="G5" s="83">
        <v>2021</v>
      </c>
      <c r="H5" s="83">
        <v>2022</v>
      </c>
      <c r="I5" s="119"/>
      <c r="J5" s="87">
        <v>2018</v>
      </c>
      <c r="K5" s="87">
        <v>2019</v>
      </c>
      <c r="L5" s="87">
        <v>2020</v>
      </c>
      <c r="M5" s="87">
        <v>2021</v>
      </c>
      <c r="N5" s="87">
        <v>2022</v>
      </c>
      <c r="O5" s="120"/>
      <c r="P5" s="119" t="s">
        <v>11</v>
      </c>
      <c r="Q5" s="83" t="s">
        <v>13</v>
      </c>
      <c r="R5" s="83" t="s">
        <v>14</v>
      </c>
      <c r="S5" s="83" t="s">
        <v>15</v>
      </c>
      <c r="T5" s="120" t="s">
        <v>11</v>
      </c>
      <c r="U5" s="87" t="s">
        <v>13</v>
      </c>
      <c r="V5" s="87" t="s">
        <v>14</v>
      </c>
      <c r="W5" s="87" t="s">
        <v>15</v>
      </c>
      <c r="X5" s="91" t="s">
        <v>13</v>
      </c>
      <c r="Y5" s="91" t="s">
        <v>15</v>
      </c>
      <c r="Z5" s="91" t="s">
        <v>16</v>
      </c>
    </row>
    <row r="6" spans="1:28" x14ac:dyDescent="0.25">
      <c r="A6" s="8"/>
      <c r="B6" s="9"/>
      <c r="C6" s="10"/>
      <c r="D6" s="84"/>
      <c r="E6" s="84"/>
      <c r="F6" s="84"/>
      <c r="G6" s="84"/>
      <c r="H6" s="84"/>
      <c r="I6" s="84"/>
      <c r="J6" s="88"/>
      <c r="K6" s="88"/>
      <c r="L6" s="88"/>
      <c r="M6" s="88"/>
      <c r="N6" s="88"/>
      <c r="O6" s="89"/>
      <c r="P6" s="90">
        <f t="shared" ref="P6:P39" si="0">IF(ISERROR(AVERAGE(D6:H6)),0,AVERAGE(D6:H6))</f>
        <v>0</v>
      </c>
      <c r="Q6" s="92">
        <f t="shared" ref="Q6:Q39" si="1">IF(ISERROR(((I6-P6)/P6)*100),0,((I6-P6)/P6)*100)</f>
        <v>0</v>
      </c>
      <c r="R6" s="93">
        <f t="shared" ref="R6:R39" si="2">IF(Q6="","",IF(Q6&gt;=5,3,IF(Q6&lt;-5,1,2)))</f>
        <v>2</v>
      </c>
      <c r="S6" s="93" t="str">
        <f t="shared" ref="S6:S39" si="3">IF(R6="","",IF(R6=3,"AMAN",IF(R6=1,"RENTAN","WASPADA")))</f>
        <v>WASPADA</v>
      </c>
      <c r="T6" s="90">
        <f>(IF(ISERROR(AVERAGE(J6:N6)),0,AVERAGE(J6:N6)))+0.00001</f>
        <v>1.0000000000000001E-5</v>
      </c>
      <c r="U6" s="92">
        <f>(IF(ISERROR(((O6-T6)/T6)*100),0,((O6-T6)/T6)*100))+0.00001</f>
        <v>-99.999989999999997</v>
      </c>
      <c r="V6" s="93">
        <f t="shared" ref="V6:V39" si="4">IF(U6="","",IF(U6&lt;-5,3,IF(U6&gt;=5,1,IF(U6=0,3,2))))</f>
        <v>3</v>
      </c>
      <c r="W6" s="93" t="str">
        <f t="shared" ref="W6:W39" si="5">IF(V6="","",IF(V6=3,"AMAN",IF(V6=1,"RENTAN","WASPADA")))</f>
        <v>AMAN</v>
      </c>
      <c r="X6" s="93">
        <f t="shared" ref="X6:X39" si="6">R6+V6</f>
        <v>5</v>
      </c>
      <c r="Y6" s="93" t="str">
        <f>IF(X6="","",IF(X6&lt;=3,"RENTAN",IF(X6&gt;5,"AMAN","WASPADA")))</f>
        <v>WASPADA</v>
      </c>
      <c r="Z6" s="93" t="str">
        <f t="shared" ref="Z6:Z39" si="7">IF(Y6="","",IF(Y6="AMAN","3",IF(Y6="RENTAN","1","2")))</f>
        <v>2</v>
      </c>
      <c r="AA6" s="94"/>
    </row>
    <row r="7" spans="1:28" x14ac:dyDescent="0.25">
      <c r="A7" s="8"/>
      <c r="B7" s="9"/>
      <c r="C7" s="10"/>
      <c r="D7" s="84"/>
      <c r="E7" s="84"/>
      <c r="F7" s="84"/>
      <c r="G7" s="84"/>
      <c r="H7" s="84"/>
      <c r="I7" s="84"/>
      <c r="J7" s="88"/>
      <c r="K7" s="88"/>
      <c r="L7" s="88"/>
      <c r="M7" s="88"/>
      <c r="N7" s="88"/>
      <c r="O7" s="89"/>
      <c r="P7" s="90">
        <f t="shared" si="0"/>
        <v>0</v>
      </c>
      <c r="Q7" s="92">
        <f t="shared" si="1"/>
        <v>0</v>
      </c>
      <c r="R7" s="93">
        <f t="shared" si="2"/>
        <v>2</v>
      </c>
      <c r="S7" s="93" t="str">
        <f t="shared" si="3"/>
        <v>WASPADA</v>
      </c>
      <c r="T7" s="90">
        <f t="shared" ref="T7:T39" si="8">(IF(ISERROR(AVERAGE(J7:N7)),0,AVERAGE(J7:N7)))+0.00001</f>
        <v>1.0000000000000001E-5</v>
      </c>
      <c r="U7" s="92">
        <f t="shared" ref="U7:U39" si="9">(IF(ISERROR(((O7-T7)/T7)*100),0,((O7-T7)/T7)*100))+0.00001</f>
        <v>-99.999989999999997</v>
      </c>
      <c r="V7" s="93">
        <f t="shared" si="4"/>
        <v>3</v>
      </c>
      <c r="W7" s="93" t="str">
        <f t="shared" si="5"/>
        <v>AMAN</v>
      </c>
      <c r="X7" s="93">
        <f t="shared" si="6"/>
        <v>5</v>
      </c>
      <c r="Y7" s="93" t="str">
        <f t="shared" ref="Y7:Y38" si="10">IF(X7="","",IF(X7&lt;=3,"RENTAN",IF(X7&gt;5,"AMAN","WASPADA")))</f>
        <v>WASPADA</v>
      </c>
      <c r="Z7" s="93" t="str">
        <f t="shared" si="7"/>
        <v>2</v>
      </c>
      <c r="AA7" s="94"/>
    </row>
    <row r="8" spans="1:28" x14ac:dyDescent="0.25">
      <c r="A8" s="8"/>
      <c r="B8" s="9"/>
      <c r="C8" s="10"/>
      <c r="D8" s="84"/>
      <c r="E8" s="84"/>
      <c r="F8" s="84"/>
      <c r="G8" s="84"/>
      <c r="H8" s="84"/>
      <c r="I8" s="84"/>
      <c r="J8" s="88"/>
      <c r="K8" s="88"/>
      <c r="L8" s="88"/>
      <c r="M8" s="88"/>
      <c r="N8" s="88"/>
      <c r="O8" s="89"/>
      <c r="P8" s="90">
        <f t="shared" si="0"/>
        <v>0</v>
      </c>
      <c r="Q8" s="92">
        <f t="shared" si="1"/>
        <v>0</v>
      </c>
      <c r="R8" s="93">
        <f t="shared" si="2"/>
        <v>2</v>
      </c>
      <c r="S8" s="93" t="str">
        <f t="shared" si="3"/>
        <v>WASPADA</v>
      </c>
      <c r="T8" s="90">
        <f t="shared" si="8"/>
        <v>1.0000000000000001E-5</v>
      </c>
      <c r="U8" s="92">
        <f t="shared" si="9"/>
        <v>-99.999989999999997</v>
      </c>
      <c r="V8" s="93">
        <f t="shared" si="4"/>
        <v>3</v>
      </c>
      <c r="W8" s="93" t="str">
        <f t="shared" si="5"/>
        <v>AMAN</v>
      </c>
      <c r="X8" s="93">
        <f t="shared" si="6"/>
        <v>5</v>
      </c>
      <c r="Y8" s="93" t="str">
        <f t="shared" si="10"/>
        <v>WASPADA</v>
      </c>
      <c r="Z8" s="93" t="str">
        <f t="shared" si="7"/>
        <v>2</v>
      </c>
      <c r="AA8" s="94"/>
    </row>
    <row r="9" spans="1:28" x14ac:dyDescent="0.25">
      <c r="A9" s="8"/>
      <c r="B9" s="9"/>
      <c r="C9" s="10"/>
      <c r="D9" s="84"/>
      <c r="E9" s="84"/>
      <c r="F9" s="84"/>
      <c r="G9" s="84"/>
      <c r="H9" s="84"/>
      <c r="I9" s="84"/>
      <c r="J9" s="88"/>
      <c r="K9" s="88"/>
      <c r="L9" s="88"/>
      <c r="M9" s="88"/>
      <c r="N9" s="88"/>
      <c r="O9" s="89"/>
      <c r="P9" s="90">
        <f t="shared" si="0"/>
        <v>0</v>
      </c>
      <c r="Q9" s="92">
        <f t="shared" si="1"/>
        <v>0</v>
      </c>
      <c r="R9" s="93">
        <f t="shared" si="2"/>
        <v>2</v>
      </c>
      <c r="S9" s="93" t="str">
        <f t="shared" si="3"/>
        <v>WASPADA</v>
      </c>
      <c r="T9" s="90">
        <f t="shared" si="8"/>
        <v>1.0000000000000001E-5</v>
      </c>
      <c r="U9" s="92">
        <f t="shared" si="9"/>
        <v>-99.999989999999997</v>
      </c>
      <c r="V9" s="93">
        <f t="shared" si="4"/>
        <v>3</v>
      </c>
      <c r="W9" s="93" t="str">
        <f t="shared" si="5"/>
        <v>AMAN</v>
      </c>
      <c r="X9" s="93">
        <f t="shared" si="6"/>
        <v>5</v>
      </c>
      <c r="Y9" s="93" t="str">
        <f t="shared" si="10"/>
        <v>WASPADA</v>
      </c>
      <c r="Z9" s="93" t="str">
        <f t="shared" si="7"/>
        <v>2</v>
      </c>
      <c r="AA9" s="94"/>
    </row>
    <row r="10" spans="1:28" x14ac:dyDescent="0.25">
      <c r="A10" s="8"/>
      <c r="B10" s="9"/>
      <c r="C10" s="10"/>
      <c r="D10" s="84"/>
      <c r="E10" s="84"/>
      <c r="F10" s="84"/>
      <c r="G10" s="84"/>
      <c r="H10" s="84"/>
      <c r="I10" s="84"/>
      <c r="J10" s="88"/>
      <c r="K10" s="88"/>
      <c r="L10" s="88"/>
      <c r="M10" s="88"/>
      <c r="N10" s="88"/>
      <c r="O10" s="89"/>
      <c r="P10" s="90">
        <f t="shared" si="0"/>
        <v>0</v>
      </c>
      <c r="Q10" s="92">
        <f t="shared" si="1"/>
        <v>0</v>
      </c>
      <c r="R10" s="93">
        <f t="shared" si="2"/>
        <v>2</v>
      </c>
      <c r="S10" s="93" t="str">
        <f t="shared" si="3"/>
        <v>WASPADA</v>
      </c>
      <c r="T10" s="90">
        <f t="shared" si="8"/>
        <v>1.0000000000000001E-5</v>
      </c>
      <c r="U10" s="92">
        <f t="shared" si="9"/>
        <v>-99.999989999999997</v>
      </c>
      <c r="V10" s="93">
        <f t="shared" si="4"/>
        <v>3</v>
      </c>
      <c r="W10" s="93" t="str">
        <f t="shared" si="5"/>
        <v>AMAN</v>
      </c>
      <c r="X10" s="93">
        <f t="shared" si="6"/>
        <v>5</v>
      </c>
      <c r="Y10" s="93" t="str">
        <f t="shared" si="10"/>
        <v>WASPADA</v>
      </c>
      <c r="Z10" s="93" t="str">
        <f t="shared" si="7"/>
        <v>2</v>
      </c>
      <c r="AA10" s="94"/>
    </row>
    <row r="11" spans="1:28" x14ac:dyDescent="0.25">
      <c r="A11" s="8"/>
      <c r="B11" s="9"/>
      <c r="C11" s="10"/>
      <c r="D11" s="84"/>
      <c r="E11" s="84"/>
      <c r="F11" s="84"/>
      <c r="G11" s="84"/>
      <c r="H11" s="84"/>
      <c r="I11" s="84"/>
      <c r="J11" s="88"/>
      <c r="K11" s="88"/>
      <c r="L11" s="88"/>
      <c r="M11" s="88"/>
      <c r="N11" s="88"/>
      <c r="O11" s="89"/>
      <c r="P11" s="90">
        <f t="shared" si="0"/>
        <v>0</v>
      </c>
      <c r="Q11" s="92">
        <f t="shared" si="1"/>
        <v>0</v>
      </c>
      <c r="R11" s="93">
        <f t="shared" si="2"/>
        <v>2</v>
      </c>
      <c r="S11" s="93" t="str">
        <f t="shared" si="3"/>
        <v>WASPADA</v>
      </c>
      <c r="T11" s="90">
        <f t="shared" si="8"/>
        <v>1.0000000000000001E-5</v>
      </c>
      <c r="U11" s="92">
        <f t="shared" si="9"/>
        <v>-99.999989999999997</v>
      </c>
      <c r="V11" s="93">
        <f t="shared" si="4"/>
        <v>3</v>
      </c>
      <c r="W11" s="93" t="str">
        <f t="shared" si="5"/>
        <v>AMAN</v>
      </c>
      <c r="X11" s="93">
        <f t="shared" si="6"/>
        <v>5</v>
      </c>
      <c r="Y11" s="93" t="str">
        <f t="shared" si="10"/>
        <v>WASPADA</v>
      </c>
      <c r="Z11" s="93" t="str">
        <f t="shared" si="7"/>
        <v>2</v>
      </c>
      <c r="AA11" s="94"/>
    </row>
    <row r="12" spans="1:28" x14ac:dyDescent="0.25">
      <c r="A12" s="8"/>
      <c r="B12" s="9"/>
      <c r="C12" s="10"/>
      <c r="D12" s="84"/>
      <c r="E12" s="84"/>
      <c r="F12" s="84"/>
      <c r="G12" s="84"/>
      <c r="H12" s="84"/>
      <c r="I12" s="84"/>
      <c r="J12" s="88"/>
      <c r="K12" s="88"/>
      <c r="L12" s="88"/>
      <c r="M12" s="88"/>
      <c r="N12" s="88"/>
      <c r="O12" s="89"/>
      <c r="P12" s="90">
        <f t="shared" si="0"/>
        <v>0</v>
      </c>
      <c r="Q12" s="92">
        <f t="shared" si="1"/>
        <v>0</v>
      </c>
      <c r="R12" s="93">
        <f t="shared" si="2"/>
        <v>2</v>
      </c>
      <c r="S12" s="93" t="str">
        <f t="shared" si="3"/>
        <v>WASPADA</v>
      </c>
      <c r="T12" s="90">
        <f t="shared" si="8"/>
        <v>1.0000000000000001E-5</v>
      </c>
      <c r="U12" s="92">
        <f t="shared" si="9"/>
        <v>-99.999989999999997</v>
      </c>
      <c r="V12" s="93">
        <f t="shared" si="4"/>
        <v>3</v>
      </c>
      <c r="W12" s="93" t="str">
        <f t="shared" si="5"/>
        <v>AMAN</v>
      </c>
      <c r="X12" s="93">
        <f t="shared" si="6"/>
        <v>5</v>
      </c>
      <c r="Y12" s="93" t="str">
        <f t="shared" si="10"/>
        <v>WASPADA</v>
      </c>
      <c r="Z12" s="93" t="str">
        <f t="shared" si="7"/>
        <v>2</v>
      </c>
      <c r="AA12" s="94"/>
    </row>
    <row r="13" spans="1:28" x14ac:dyDescent="0.25">
      <c r="A13" s="8"/>
      <c r="B13" s="9"/>
      <c r="C13" s="10"/>
      <c r="D13" s="84"/>
      <c r="E13" s="84"/>
      <c r="F13" s="84"/>
      <c r="G13" s="84"/>
      <c r="H13" s="84"/>
      <c r="I13" s="84"/>
      <c r="J13" s="88"/>
      <c r="K13" s="88"/>
      <c r="L13" s="88"/>
      <c r="M13" s="88"/>
      <c r="N13" s="88"/>
      <c r="O13" s="89"/>
      <c r="P13" s="90">
        <f t="shared" si="0"/>
        <v>0</v>
      </c>
      <c r="Q13" s="92">
        <f t="shared" si="1"/>
        <v>0</v>
      </c>
      <c r="R13" s="93">
        <f t="shared" si="2"/>
        <v>2</v>
      </c>
      <c r="S13" s="93" t="str">
        <f t="shared" si="3"/>
        <v>WASPADA</v>
      </c>
      <c r="T13" s="90">
        <f t="shared" si="8"/>
        <v>1.0000000000000001E-5</v>
      </c>
      <c r="U13" s="92">
        <f t="shared" si="9"/>
        <v>-99.999989999999997</v>
      </c>
      <c r="V13" s="93">
        <f t="shared" si="4"/>
        <v>3</v>
      </c>
      <c r="W13" s="93" t="str">
        <f t="shared" si="5"/>
        <v>AMAN</v>
      </c>
      <c r="X13" s="93">
        <f t="shared" si="6"/>
        <v>5</v>
      </c>
      <c r="Y13" s="93" t="str">
        <f t="shared" si="10"/>
        <v>WASPADA</v>
      </c>
      <c r="Z13" s="93" t="str">
        <f t="shared" si="7"/>
        <v>2</v>
      </c>
      <c r="AA13" s="94"/>
    </row>
    <row r="14" spans="1:28" x14ac:dyDescent="0.25">
      <c r="A14" s="8"/>
      <c r="B14" s="9"/>
      <c r="C14" s="10"/>
      <c r="D14" s="84"/>
      <c r="E14" s="84"/>
      <c r="F14" s="84"/>
      <c r="G14" s="84"/>
      <c r="H14" s="84"/>
      <c r="I14" s="84"/>
      <c r="J14" s="88"/>
      <c r="K14" s="88"/>
      <c r="L14" s="88"/>
      <c r="M14" s="88"/>
      <c r="N14" s="88"/>
      <c r="O14" s="89"/>
      <c r="P14" s="90">
        <f t="shared" si="0"/>
        <v>0</v>
      </c>
      <c r="Q14" s="92">
        <f t="shared" si="1"/>
        <v>0</v>
      </c>
      <c r="R14" s="93">
        <f t="shared" si="2"/>
        <v>2</v>
      </c>
      <c r="S14" s="93" t="str">
        <f t="shared" si="3"/>
        <v>WASPADA</v>
      </c>
      <c r="T14" s="90">
        <f t="shared" si="8"/>
        <v>1.0000000000000001E-5</v>
      </c>
      <c r="U14" s="92">
        <f t="shared" si="9"/>
        <v>-99.999989999999997</v>
      </c>
      <c r="V14" s="93">
        <f t="shared" si="4"/>
        <v>3</v>
      </c>
      <c r="W14" s="93" t="str">
        <f t="shared" si="5"/>
        <v>AMAN</v>
      </c>
      <c r="X14" s="93">
        <f t="shared" si="6"/>
        <v>5</v>
      </c>
      <c r="Y14" s="93" t="str">
        <f t="shared" si="10"/>
        <v>WASPADA</v>
      </c>
      <c r="Z14" s="93" t="str">
        <f t="shared" si="7"/>
        <v>2</v>
      </c>
      <c r="AA14" s="94"/>
    </row>
    <row r="15" spans="1:28" x14ac:dyDescent="0.25">
      <c r="A15" s="8"/>
      <c r="B15" s="9"/>
      <c r="C15" s="10"/>
      <c r="D15" s="84"/>
      <c r="E15" s="84"/>
      <c r="F15" s="84"/>
      <c r="G15" s="84"/>
      <c r="H15" s="84"/>
      <c r="I15" s="84"/>
      <c r="J15" s="88"/>
      <c r="K15" s="88"/>
      <c r="L15" s="88"/>
      <c r="M15" s="88"/>
      <c r="N15" s="88"/>
      <c r="O15" s="89"/>
      <c r="P15" s="90">
        <f t="shared" si="0"/>
        <v>0</v>
      </c>
      <c r="Q15" s="92">
        <f t="shared" si="1"/>
        <v>0</v>
      </c>
      <c r="R15" s="93">
        <f t="shared" si="2"/>
        <v>2</v>
      </c>
      <c r="S15" s="93" t="str">
        <f t="shared" si="3"/>
        <v>WASPADA</v>
      </c>
      <c r="T15" s="90">
        <f t="shared" si="8"/>
        <v>1.0000000000000001E-5</v>
      </c>
      <c r="U15" s="92">
        <f t="shared" si="9"/>
        <v>-99.999989999999997</v>
      </c>
      <c r="V15" s="93">
        <f t="shared" si="4"/>
        <v>3</v>
      </c>
      <c r="W15" s="93" t="str">
        <f t="shared" si="5"/>
        <v>AMAN</v>
      </c>
      <c r="X15" s="93">
        <f t="shared" si="6"/>
        <v>5</v>
      </c>
      <c r="Y15" s="93" t="str">
        <f t="shared" si="10"/>
        <v>WASPADA</v>
      </c>
      <c r="Z15" s="93" t="str">
        <f t="shared" si="7"/>
        <v>2</v>
      </c>
      <c r="AA15" s="94"/>
    </row>
    <row r="16" spans="1:28" x14ac:dyDescent="0.25">
      <c r="A16" s="8"/>
      <c r="B16" s="9"/>
      <c r="C16" s="10"/>
      <c r="D16" s="84"/>
      <c r="E16" s="84"/>
      <c r="F16" s="84"/>
      <c r="G16" s="84"/>
      <c r="H16" s="84"/>
      <c r="I16" s="84"/>
      <c r="J16" s="88"/>
      <c r="K16" s="88"/>
      <c r="L16" s="88"/>
      <c r="M16" s="88"/>
      <c r="N16" s="88"/>
      <c r="O16" s="89"/>
      <c r="P16" s="90">
        <f t="shared" si="0"/>
        <v>0</v>
      </c>
      <c r="Q16" s="92">
        <f t="shared" si="1"/>
        <v>0</v>
      </c>
      <c r="R16" s="93">
        <f t="shared" si="2"/>
        <v>2</v>
      </c>
      <c r="S16" s="93" t="str">
        <f t="shared" si="3"/>
        <v>WASPADA</v>
      </c>
      <c r="T16" s="90">
        <f t="shared" si="8"/>
        <v>1.0000000000000001E-5</v>
      </c>
      <c r="U16" s="92">
        <f t="shared" si="9"/>
        <v>-99.999989999999997</v>
      </c>
      <c r="V16" s="93">
        <f t="shared" si="4"/>
        <v>3</v>
      </c>
      <c r="W16" s="93" t="str">
        <f t="shared" si="5"/>
        <v>AMAN</v>
      </c>
      <c r="X16" s="93">
        <f t="shared" si="6"/>
        <v>5</v>
      </c>
      <c r="Y16" s="93" t="str">
        <f t="shared" si="10"/>
        <v>WASPADA</v>
      </c>
      <c r="Z16" s="93" t="str">
        <f t="shared" si="7"/>
        <v>2</v>
      </c>
      <c r="AA16" s="94"/>
    </row>
    <row r="17" spans="1:27" x14ac:dyDescent="0.25">
      <c r="A17" s="8"/>
      <c r="B17" s="9"/>
      <c r="C17" s="10"/>
      <c r="D17" s="84"/>
      <c r="E17" s="84"/>
      <c r="F17" s="84"/>
      <c r="G17" s="84"/>
      <c r="H17" s="84"/>
      <c r="I17" s="84"/>
      <c r="J17" s="88"/>
      <c r="K17" s="88"/>
      <c r="L17" s="88"/>
      <c r="M17" s="88"/>
      <c r="N17" s="88"/>
      <c r="O17" s="89"/>
      <c r="P17" s="90">
        <f t="shared" si="0"/>
        <v>0</v>
      </c>
      <c r="Q17" s="92">
        <f t="shared" si="1"/>
        <v>0</v>
      </c>
      <c r="R17" s="93">
        <f t="shared" si="2"/>
        <v>2</v>
      </c>
      <c r="S17" s="93" t="str">
        <f t="shared" si="3"/>
        <v>WASPADA</v>
      </c>
      <c r="T17" s="90">
        <f t="shared" si="8"/>
        <v>1.0000000000000001E-5</v>
      </c>
      <c r="U17" s="92">
        <f t="shared" si="9"/>
        <v>-99.999989999999997</v>
      </c>
      <c r="V17" s="93">
        <f t="shared" si="4"/>
        <v>3</v>
      </c>
      <c r="W17" s="93" t="str">
        <f t="shared" si="5"/>
        <v>AMAN</v>
      </c>
      <c r="X17" s="93">
        <f t="shared" si="6"/>
        <v>5</v>
      </c>
      <c r="Y17" s="93" t="str">
        <f t="shared" si="10"/>
        <v>WASPADA</v>
      </c>
      <c r="Z17" s="93" t="str">
        <f t="shared" si="7"/>
        <v>2</v>
      </c>
      <c r="AA17" s="94"/>
    </row>
    <row r="18" spans="1:27" x14ac:dyDescent="0.25">
      <c r="A18" s="8"/>
      <c r="B18" s="9"/>
      <c r="C18" s="10"/>
      <c r="D18" s="84"/>
      <c r="E18" s="84"/>
      <c r="F18" s="84"/>
      <c r="G18" s="84"/>
      <c r="H18" s="84"/>
      <c r="I18" s="84"/>
      <c r="J18" s="88"/>
      <c r="K18" s="88"/>
      <c r="L18" s="88"/>
      <c r="M18" s="88"/>
      <c r="N18" s="88"/>
      <c r="O18" s="89"/>
      <c r="P18" s="90">
        <f t="shared" si="0"/>
        <v>0</v>
      </c>
      <c r="Q18" s="92">
        <f t="shared" si="1"/>
        <v>0</v>
      </c>
      <c r="R18" s="93">
        <f t="shared" si="2"/>
        <v>2</v>
      </c>
      <c r="S18" s="93" t="str">
        <f t="shared" si="3"/>
        <v>WASPADA</v>
      </c>
      <c r="T18" s="90">
        <f t="shared" si="8"/>
        <v>1.0000000000000001E-5</v>
      </c>
      <c r="U18" s="92">
        <f t="shared" si="9"/>
        <v>-99.999989999999997</v>
      </c>
      <c r="V18" s="93">
        <f t="shared" si="4"/>
        <v>3</v>
      </c>
      <c r="W18" s="93" t="str">
        <f t="shared" si="5"/>
        <v>AMAN</v>
      </c>
      <c r="X18" s="93">
        <f t="shared" si="6"/>
        <v>5</v>
      </c>
      <c r="Y18" s="93" t="str">
        <f t="shared" si="10"/>
        <v>WASPADA</v>
      </c>
      <c r="Z18" s="93" t="str">
        <f t="shared" si="7"/>
        <v>2</v>
      </c>
      <c r="AA18" s="94"/>
    </row>
    <row r="19" spans="1:27" x14ac:dyDescent="0.25">
      <c r="A19" s="8"/>
      <c r="B19" s="9"/>
      <c r="C19" s="10"/>
      <c r="D19" s="84"/>
      <c r="E19" s="84"/>
      <c r="F19" s="84"/>
      <c r="G19" s="84"/>
      <c r="H19" s="84"/>
      <c r="I19" s="84"/>
      <c r="J19" s="88"/>
      <c r="K19" s="88"/>
      <c r="L19" s="88"/>
      <c r="M19" s="88"/>
      <c r="N19" s="88"/>
      <c r="O19" s="89"/>
      <c r="P19" s="90">
        <f t="shared" si="0"/>
        <v>0</v>
      </c>
      <c r="Q19" s="92">
        <f t="shared" si="1"/>
        <v>0</v>
      </c>
      <c r="R19" s="93">
        <f t="shared" si="2"/>
        <v>2</v>
      </c>
      <c r="S19" s="93" t="str">
        <f t="shared" si="3"/>
        <v>WASPADA</v>
      </c>
      <c r="T19" s="90">
        <f t="shared" si="8"/>
        <v>1.0000000000000001E-5</v>
      </c>
      <c r="U19" s="92">
        <f t="shared" si="9"/>
        <v>-99.999989999999997</v>
      </c>
      <c r="V19" s="93">
        <f t="shared" si="4"/>
        <v>3</v>
      </c>
      <c r="W19" s="93" t="str">
        <f t="shared" si="5"/>
        <v>AMAN</v>
      </c>
      <c r="X19" s="93">
        <f t="shared" si="6"/>
        <v>5</v>
      </c>
      <c r="Y19" s="93" t="str">
        <f t="shared" si="10"/>
        <v>WASPADA</v>
      </c>
      <c r="Z19" s="93" t="str">
        <f t="shared" si="7"/>
        <v>2</v>
      </c>
      <c r="AA19" s="94"/>
    </row>
    <row r="20" spans="1:27" x14ac:dyDescent="0.25">
      <c r="A20" s="8"/>
      <c r="B20" s="9"/>
      <c r="C20" s="10"/>
      <c r="D20" s="84"/>
      <c r="E20" s="84"/>
      <c r="F20" s="84"/>
      <c r="G20" s="84"/>
      <c r="H20" s="84"/>
      <c r="I20" s="84"/>
      <c r="J20" s="88"/>
      <c r="K20" s="88"/>
      <c r="L20" s="88"/>
      <c r="M20" s="88"/>
      <c r="N20" s="88"/>
      <c r="O20" s="89"/>
      <c r="P20" s="90">
        <f t="shared" si="0"/>
        <v>0</v>
      </c>
      <c r="Q20" s="92">
        <f t="shared" si="1"/>
        <v>0</v>
      </c>
      <c r="R20" s="93">
        <f t="shared" si="2"/>
        <v>2</v>
      </c>
      <c r="S20" s="93" t="str">
        <f t="shared" si="3"/>
        <v>WASPADA</v>
      </c>
      <c r="T20" s="90">
        <f t="shared" si="8"/>
        <v>1.0000000000000001E-5</v>
      </c>
      <c r="U20" s="92">
        <f t="shared" si="9"/>
        <v>-99.999989999999997</v>
      </c>
      <c r="V20" s="93">
        <f t="shared" si="4"/>
        <v>3</v>
      </c>
      <c r="W20" s="93" t="str">
        <f t="shared" si="5"/>
        <v>AMAN</v>
      </c>
      <c r="X20" s="93">
        <f t="shared" si="6"/>
        <v>5</v>
      </c>
      <c r="Y20" s="93" t="str">
        <f t="shared" si="10"/>
        <v>WASPADA</v>
      </c>
      <c r="Z20" s="93" t="str">
        <f t="shared" si="7"/>
        <v>2</v>
      </c>
      <c r="AA20" s="94"/>
    </row>
    <row r="21" spans="1:27" x14ac:dyDescent="0.25">
      <c r="A21" s="8"/>
      <c r="B21" s="9"/>
      <c r="C21" s="10"/>
      <c r="D21" s="84"/>
      <c r="E21" s="84"/>
      <c r="F21" s="84"/>
      <c r="G21" s="84"/>
      <c r="H21" s="84"/>
      <c r="I21" s="84"/>
      <c r="J21" s="88"/>
      <c r="K21" s="88"/>
      <c r="L21" s="88"/>
      <c r="M21" s="88"/>
      <c r="N21" s="88"/>
      <c r="O21" s="89"/>
      <c r="P21" s="90">
        <f t="shared" si="0"/>
        <v>0</v>
      </c>
      <c r="Q21" s="92">
        <f t="shared" si="1"/>
        <v>0</v>
      </c>
      <c r="R21" s="93">
        <f t="shared" si="2"/>
        <v>2</v>
      </c>
      <c r="S21" s="93" t="str">
        <f t="shared" si="3"/>
        <v>WASPADA</v>
      </c>
      <c r="T21" s="90">
        <f t="shared" si="8"/>
        <v>1.0000000000000001E-5</v>
      </c>
      <c r="U21" s="92">
        <f t="shared" si="9"/>
        <v>-99.999989999999997</v>
      </c>
      <c r="V21" s="93">
        <f t="shared" si="4"/>
        <v>3</v>
      </c>
      <c r="W21" s="93" t="str">
        <f t="shared" si="5"/>
        <v>AMAN</v>
      </c>
      <c r="X21" s="93">
        <f t="shared" si="6"/>
        <v>5</v>
      </c>
      <c r="Y21" s="93" t="str">
        <f t="shared" si="10"/>
        <v>WASPADA</v>
      </c>
      <c r="Z21" s="93" t="str">
        <f t="shared" si="7"/>
        <v>2</v>
      </c>
      <c r="AA21" s="94"/>
    </row>
    <row r="22" spans="1:27" x14ac:dyDescent="0.25">
      <c r="A22" s="8"/>
      <c r="B22" s="9"/>
      <c r="C22" s="10"/>
      <c r="D22" s="84"/>
      <c r="E22" s="84"/>
      <c r="F22" s="84"/>
      <c r="G22" s="84"/>
      <c r="H22" s="84"/>
      <c r="I22" s="84"/>
      <c r="J22" s="88"/>
      <c r="K22" s="88"/>
      <c r="L22" s="88"/>
      <c r="M22" s="88"/>
      <c r="N22" s="88"/>
      <c r="O22" s="89"/>
      <c r="P22" s="90">
        <f t="shared" si="0"/>
        <v>0</v>
      </c>
      <c r="Q22" s="92">
        <f t="shared" si="1"/>
        <v>0</v>
      </c>
      <c r="R22" s="93">
        <f t="shared" si="2"/>
        <v>2</v>
      </c>
      <c r="S22" s="93" t="str">
        <f t="shared" si="3"/>
        <v>WASPADA</v>
      </c>
      <c r="T22" s="90">
        <f t="shared" si="8"/>
        <v>1.0000000000000001E-5</v>
      </c>
      <c r="U22" s="92">
        <f t="shared" si="9"/>
        <v>-99.999989999999997</v>
      </c>
      <c r="V22" s="93">
        <f t="shared" si="4"/>
        <v>3</v>
      </c>
      <c r="W22" s="93" t="str">
        <f t="shared" si="5"/>
        <v>AMAN</v>
      </c>
      <c r="X22" s="93">
        <f t="shared" si="6"/>
        <v>5</v>
      </c>
      <c r="Y22" s="93" t="str">
        <f t="shared" si="10"/>
        <v>WASPADA</v>
      </c>
      <c r="Z22" s="93" t="str">
        <f t="shared" si="7"/>
        <v>2</v>
      </c>
      <c r="AA22" s="94"/>
    </row>
    <row r="23" spans="1:27" x14ac:dyDescent="0.25">
      <c r="A23" s="8"/>
      <c r="B23" s="9"/>
      <c r="C23" s="10"/>
      <c r="D23" s="84"/>
      <c r="E23" s="84"/>
      <c r="F23" s="84"/>
      <c r="G23" s="84"/>
      <c r="H23" s="84"/>
      <c r="I23" s="84"/>
      <c r="J23" s="88"/>
      <c r="K23" s="88"/>
      <c r="L23" s="88"/>
      <c r="M23" s="88"/>
      <c r="N23" s="88"/>
      <c r="O23" s="89"/>
      <c r="P23" s="90">
        <f t="shared" si="0"/>
        <v>0</v>
      </c>
      <c r="Q23" s="92">
        <f t="shared" si="1"/>
        <v>0</v>
      </c>
      <c r="R23" s="93">
        <f t="shared" si="2"/>
        <v>2</v>
      </c>
      <c r="S23" s="93" t="str">
        <f t="shared" si="3"/>
        <v>WASPADA</v>
      </c>
      <c r="T23" s="90">
        <f t="shared" si="8"/>
        <v>1.0000000000000001E-5</v>
      </c>
      <c r="U23" s="92">
        <f t="shared" si="9"/>
        <v>-99.999989999999997</v>
      </c>
      <c r="V23" s="93">
        <f t="shared" si="4"/>
        <v>3</v>
      </c>
      <c r="W23" s="93" t="str">
        <f t="shared" si="5"/>
        <v>AMAN</v>
      </c>
      <c r="X23" s="93">
        <f t="shared" si="6"/>
        <v>5</v>
      </c>
      <c r="Y23" s="93" t="str">
        <f t="shared" si="10"/>
        <v>WASPADA</v>
      </c>
      <c r="Z23" s="93" t="str">
        <f t="shared" si="7"/>
        <v>2</v>
      </c>
      <c r="AA23" s="94"/>
    </row>
    <row r="24" spans="1:27" x14ac:dyDescent="0.25">
      <c r="A24" s="8"/>
      <c r="B24" s="9"/>
      <c r="C24" s="10"/>
      <c r="D24" s="84"/>
      <c r="E24" s="84"/>
      <c r="F24" s="84"/>
      <c r="G24" s="84"/>
      <c r="H24" s="84"/>
      <c r="I24" s="84"/>
      <c r="J24" s="88"/>
      <c r="K24" s="88"/>
      <c r="L24" s="88"/>
      <c r="M24" s="88"/>
      <c r="N24" s="88"/>
      <c r="O24" s="89"/>
      <c r="P24" s="90">
        <f t="shared" si="0"/>
        <v>0</v>
      </c>
      <c r="Q24" s="92">
        <f t="shared" si="1"/>
        <v>0</v>
      </c>
      <c r="R24" s="93">
        <f t="shared" si="2"/>
        <v>2</v>
      </c>
      <c r="S24" s="93" t="str">
        <f t="shared" si="3"/>
        <v>WASPADA</v>
      </c>
      <c r="T24" s="90">
        <f t="shared" si="8"/>
        <v>1.0000000000000001E-5</v>
      </c>
      <c r="U24" s="92">
        <f t="shared" si="9"/>
        <v>-99.999989999999997</v>
      </c>
      <c r="V24" s="93">
        <f t="shared" si="4"/>
        <v>3</v>
      </c>
      <c r="W24" s="93" t="str">
        <f t="shared" si="5"/>
        <v>AMAN</v>
      </c>
      <c r="X24" s="93">
        <f t="shared" si="6"/>
        <v>5</v>
      </c>
      <c r="Y24" s="93" t="str">
        <f t="shared" si="10"/>
        <v>WASPADA</v>
      </c>
      <c r="Z24" s="93" t="str">
        <f t="shared" si="7"/>
        <v>2</v>
      </c>
      <c r="AA24" s="94"/>
    </row>
    <row r="25" spans="1:27" x14ac:dyDescent="0.25">
      <c r="A25" s="8"/>
      <c r="B25" s="9"/>
      <c r="C25" s="10"/>
      <c r="D25" s="84"/>
      <c r="E25" s="84"/>
      <c r="F25" s="84"/>
      <c r="G25" s="84"/>
      <c r="H25" s="84"/>
      <c r="I25" s="84"/>
      <c r="J25" s="88"/>
      <c r="K25" s="88"/>
      <c r="L25" s="88"/>
      <c r="M25" s="88"/>
      <c r="N25" s="88"/>
      <c r="O25" s="89"/>
      <c r="P25" s="90">
        <f t="shared" si="0"/>
        <v>0</v>
      </c>
      <c r="Q25" s="92">
        <f t="shared" si="1"/>
        <v>0</v>
      </c>
      <c r="R25" s="93">
        <f t="shared" si="2"/>
        <v>2</v>
      </c>
      <c r="S25" s="93" t="str">
        <f t="shared" si="3"/>
        <v>WASPADA</v>
      </c>
      <c r="T25" s="90">
        <f t="shared" si="8"/>
        <v>1.0000000000000001E-5</v>
      </c>
      <c r="U25" s="92">
        <f t="shared" si="9"/>
        <v>-99.999989999999997</v>
      </c>
      <c r="V25" s="93">
        <f t="shared" si="4"/>
        <v>3</v>
      </c>
      <c r="W25" s="93" t="str">
        <f t="shared" si="5"/>
        <v>AMAN</v>
      </c>
      <c r="X25" s="93">
        <f t="shared" si="6"/>
        <v>5</v>
      </c>
      <c r="Y25" s="93" t="str">
        <f t="shared" si="10"/>
        <v>WASPADA</v>
      </c>
      <c r="Z25" s="93" t="str">
        <f t="shared" si="7"/>
        <v>2</v>
      </c>
      <c r="AA25" s="94"/>
    </row>
    <row r="26" spans="1:27" x14ac:dyDescent="0.25">
      <c r="A26" s="8"/>
      <c r="B26" s="9"/>
      <c r="C26" s="10"/>
      <c r="D26" s="84"/>
      <c r="E26" s="84"/>
      <c r="F26" s="84"/>
      <c r="G26" s="84"/>
      <c r="H26" s="84"/>
      <c r="I26" s="84"/>
      <c r="J26" s="88"/>
      <c r="K26" s="88"/>
      <c r="L26" s="88"/>
      <c r="M26" s="88"/>
      <c r="N26" s="88"/>
      <c r="O26" s="89"/>
      <c r="P26" s="90">
        <f t="shared" si="0"/>
        <v>0</v>
      </c>
      <c r="Q26" s="92">
        <f t="shared" si="1"/>
        <v>0</v>
      </c>
      <c r="R26" s="93">
        <f t="shared" si="2"/>
        <v>2</v>
      </c>
      <c r="S26" s="93" t="str">
        <f t="shared" si="3"/>
        <v>WASPADA</v>
      </c>
      <c r="T26" s="90">
        <f t="shared" si="8"/>
        <v>1.0000000000000001E-5</v>
      </c>
      <c r="U26" s="92">
        <f t="shared" si="9"/>
        <v>-99.999989999999997</v>
      </c>
      <c r="V26" s="93">
        <f t="shared" si="4"/>
        <v>3</v>
      </c>
      <c r="W26" s="93" t="str">
        <f t="shared" si="5"/>
        <v>AMAN</v>
      </c>
      <c r="X26" s="93">
        <f t="shared" si="6"/>
        <v>5</v>
      </c>
      <c r="Y26" s="93" t="str">
        <f t="shared" si="10"/>
        <v>WASPADA</v>
      </c>
      <c r="Z26" s="93" t="str">
        <f t="shared" si="7"/>
        <v>2</v>
      </c>
      <c r="AA26" s="94"/>
    </row>
    <row r="27" spans="1:27" x14ac:dyDescent="0.25">
      <c r="A27" s="8"/>
      <c r="B27" s="9"/>
      <c r="C27" s="10"/>
      <c r="D27" s="84"/>
      <c r="E27" s="84"/>
      <c r="F27" s="84"/>
      <c r="G27" s="84"/>
      <c r="H27" s="84"/>
      <c r="I27" s="84"/>
      <c r="J27" s="88"/>
      <c r="K27" s="88"/>
      <c r="L27" s="88"/>
      <c r="M27" s="88"/>
      <c r="N27" s="88"/>
      <c r="O27" s="89"/>
      <c r="P27" s="90">
        <f t="shared" si="0"/>
        <v>0</v>
      </c>
      <c r="Q27" s="92">
        <f t="shared" si="1"/>
        <v>0</v>
      </c>
      <c r="R27" s="93">
        <f t="shared" si="2"/>
        <v>2</v>
      </c>
      <c r="S27" s="93" t="str">
        <f t="shared" si="3"/>
        <v>WASPADA</v>
      </c>
      <c r="T27" s="90">
        <f t="shared" si="8"/>
        <v>1.0000000000000001E-5</v>
      </c>
      <c r="U27" s="92">
        <f t="shared" si="9"/>
        <v>-99.999989999999997</v>
      </c>
      <c r="V27" s="93">
        <f t="shared" si="4"/>
        <v>3</v>
      </c>
      <c r="W27" s="93" t="str">
        <f t="shared" si="5"/>
        <v>AMAN</v>
      </c>
      <c r="X27" s="93">
        <f t="shared" si="6"/>
        <v>5</v>
      </c>
      <c r="Y27" s="93" t="str">
        <f t="shared" si="10"/>
        <v>WASPADA</v>
      </c>
      <c r="Z27" s="93" t="str">
        <f t="shared" si="7"/>
        <v>2</v>
      </c>
      <c r="AA27" s="94"/>
    </row>
    <row r="28" spans="1:27" x14ac:dyDescent="0.25">
      <c r="A28" s="8"/>
      <c r="B28" s="9"/>
      <c r="C28" s="10"/>
      <c r="D28" s="84"/>
      <c r="E28" s="84"/>
      <c r="F28" s="84"/>
      <c r="G28" s="84"/>
      <c r="H28" s="84"/>
      <c r="I28" s="84"/>
      <c r="J28" s="88"/>
      <c r="K28" s="88"/>
      <c r="L28" s="88"/>
      <c r="M28" s="88"/>
      <c r="N28" s="88"/>
      <c r="O28" s="89"/>
      <c r="P28" s="90">
        <f t="shared" si="0"/>
        <v>0</v>
      </c>
      <c r="Q28" s="92">
        <f t="shared" si="1"/>
        <v>0</v>
      </c>
      <c r="R28" s="93">
        <f t="shared" si="2"/>
        <v>2</v>
      </c>
      <c r="S28" s="93" t="str">
        <f t="shared" si="3"/>
        <v>WASPADA</v>
      </c>
      <c r="T28" s="90">
        <f t="shared" si="8"/>
        <v>1.0000000000000001E-5</v>
      </c>
      <c r="U28" s="92">
        <f t="shared" si="9"/>
        <v>-99.999989999999997</v>
      </c>
      <c r="V28" s="93">
        <f t="shared" si="4"/>
        <v>3</v>
      </c>
      <c r="W28" s="93" t="str">
        <f t="shared" si="5"/>
        <v>AMAN</v>
      </c>
      <c r="X28" s="93">
        <f t="shared" si="6"/>
        <v>5</v>
      </c>
      <c r="Y28" s="93" t="str">
        <f t="shared" si="10"/>
        <v>WASPADA</v>
      </c>
      <c r="Z28" s="93" t="str">
        <f t="shared" si="7"/>
        <v>2</v>
      </c>
      <c r="AA28" s="94"/>
    </row>
    <row r="29" spans="1:27" s="77" customFormat="1" x14ac:dyDescent="0.25">
      <c r="A29" s="14"/>
      <c r="B29" s="15"/>
      <c r="C29" s="16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90">
        <f t="shared" si="0"/>
        <v>0</v>
      </c>
      <c r="Q29" s="92">
        <f t="shared" si="1"/>
        <v>0</v>
      </c>
      <c r="R29" s="93">
        <f t="shared" si="2"/>
        <v>2</v>
      </c>
      <c r="S29" s="93" t="str">
        <f t="shared" si="3"/>
        <v>WASPADA</v>
      </c>
      <c r="T29" s="90">
        <f t="shared" si="8"/>
        <v>1.0000000000000001E-5</v>
      </c>
      <c r="U29" s="92">
        <f t="shared" si="9"/>
        <v>-99.999989999999997</v>
      </c>
      <c r="V29" s="93">
        <f t="shared" si="4"/>
        <v>3</v>
      </c>
      <c r="W29" s="93" t="str">
        <f t="shared" si="5"/>
        <v>AMAN</v>
      </c>
      <c r="X29" s="93">
        <f t="shared" si="6"/>
        <v>5</v>
      </c>
      <c r="Y29" s="93" t="str">
        <f t="shared" si="10"/>
        <v>WASPADA</v>
      </c>
      <c r="Z29" s="93" t="str">
        <f t="shared" si="7"/>
        <v>2</v>
      </c>
      <c r="AA29" s="95"/>
    </row>
    <row r="30" spans="1:27" x14ac:dyDescent="0.25">
      <c r="A30" s="8"/>
      <c r="B30" s="9"/>
      <c r="C30" s="10"/>
      <c r="D30" s="84"/>
      <c r="E30" s="84"/>
      <c r="F30" s="84"/>
      <c r="G30" s="84"/>
      <c r="H30" s="84"/>
      <c r="I30" s="84"/>
      <c r="J30" s="88"/>
      <c r="K30" s="88"/>
      <c r="L30" s="88"/>
      <c r="M30" s="88"/>
      <c r="N30" s="88"/>
      <c r="O30" s="89"/>
      <c r="P30" s="90">
        <f t="shared" si="0"/>
        <v>0</v>
      </c>
      <c r="Q30" s="92">
        <f t="shared" si="1"/>
        <v>0</v>
      </c>
      <c r="R30" s="93">
        <f t="shared" si="2"/>
        <v>2</v>
      </c>
      <c r="S30" s="93" t="str">
        <f t="shared" si="3"/>
        <v>WASPADA</v>
      </c>
      <c r="T30" s="90">
        <f t="shared" si="8"/>
        <v>1.0000000000000001E-5</v>
      </c>
      <c r="U30" s="92">
        <f t="shared" si="9"/>
        <v>-99.999989999999997</v>
      </c>
      <c r="V30" s="93">
        <f t="shared" si="4"/>
        <v>3</v>
      </c>
      <c r="W30" s="93" t="str">
        <f t="shared" si="5"/>
        <v>AMAN</v>
      </c>
      <c r="X30" s="93">
        <f t="shared" si="6"/>
        <v>5</v>
      </c>
      <c r="Y30" s="93" t="str">
        <f t="shared" si="10"/>
        <v>WASPADA</v>
      </c>
      <c r="Z30" s="93" t="str">
        <f t="shared" si="7"/>
        <v>2</v>
      </c>
      <c r="AA30" s="94"/>
    </row>
    <row r="31" spans="1:27" x14ac:dyDescent="0.25">
      <c r="A31" s="8"/>
      <c r="B31" s="9"/>
      <c r="C31" s="10"/>
      <c r="D31" s="84"/>
      <c r="E31" s="84"/>
      <c r="F31" s="84"/>
      <c r="G31" s="84"/>
      <c r="H31" s="84"/>
      <c r="I31" s="84"/>
      <c r="J31" s="88"/>
      <c r="K31" s="88"/>
      <c r="L31" s="88"/>
      <c r="M31" s="88"/>
      <c r="N31" s="88"/>
      <c r="O31" s="89"/>
      <c r="P31" s="90">
        <f t="shared" si="0"/>
        <v>0</v>
      </c>
      <c r="Q31" s="92">
        <f t="shared" si="1"/>
        <v>0</v>
      </c>
      <c r="R31" s="93">
        <f t="shared" si="2"/>
        <v>2</v>
      </c>
      <c r="S31" s="93" t="str">
        <f t="shared" si="3"/>
        <v>WASPADA</v>
      </c>
      <c r="T31" s="90">
        <f t="shared" si="8"/>
        <v>1.0000000000000001E-5</v>
      </c>
      <c r="U31" s="92">
        <f t="shared" si="9"/>
        <v>-99.999989999999997</v>
      </c>
      <c r="V31" s="93">
        <f t="shared" si="4"/>
        <v>3</v>
      </c>
      <c r="W31" s="93" t="str">
        <f t="shared" si="5"/>
        <v>AMAN</v>
      </c>
      <c r="X31" s="93">
        <f t="shared" si="6"/>
        <v>5</v>
      </c>
      <c r="Y31" s="93" t="str">
        <f t="shared" si="10"/>
        <v>WASPADA</v>
      </c>
      <c r="Z31" s="93" t="str">
        <f t="shared" si="7"/>
        <v>2</v>
      </c>
      <c r="AA31" s="94"/>
    </row>
    <row r="32" spans="1:27" x14ac:dyDescent="0.25">
      <c r="A32" s="8"/>
      <c r="B32" s="9"/>
      <c r="C32" s="10"/>
      <c r="D32" s="84"/>
      <c r="E32" s="84"/>
      <c r="F32" s="84"/>
      <c r="G32" s="84"/>
      <c r="H32" s="84"/>
      <c r="I32" s="84"/>
      <c r="J32" s="88"/>
      <c r="K32" s="88"/>
      <c r="L32" s="88"/>
      <c r="M32" s="88"/>
      <c r="N32" s="88"/>
      <c r="O32" s="89"/>
      <c r="P32" s="90">
        <f t="shared" si="0"/>
        <v>0</v>
      </c>
      <c r="Q32" s="92">
        <f t="shared" si="1"/>
        <v>0</v>
      </c>
      <c r="R32" s="93">
        <f t="shared" si="2"/>
        <v>2</v>
      </c>
      <c r="S32" s="93" t="str">
        <f t="shared" si="3"/>
        <v>WASPADA</v>
      </c>
      <c r="T32" s="90">
        <f t="shared" si="8"/>
        <v>1.0000000000000001E-5</v>
      </c>
      <c r="U32" s="92">
        <f t="shared" si="9"/>
        <v>-99.999989999999997</v>
      </c>
      <c r="V32" s="93">
        <f t="shared" si="4"/>
        <v>3</v>
      </c>
      <c r="W32" s="93" t="str">
        <f t="shared" si="5"/>
        <v>AMAN</v>
      </c>
      <c r="X32" s="93">
        <f t="shared" si="6"/>
        <v>5</v>
      </c>
      <c r="Y32" s="93" t="str">
        <f t="shared" si="10"/>
        <v>WASPADA</v>
      </c>
      <c r="Z32" s="93" t="str">
        <f t="shared" si="7"/>
        <v>2</v>
      </c>
      <c r="AA32" s="94"/>
    </row>
    <row r="33" spans="1:27" x14ac:dyDescent="0.25">
      <c r="A33" s="8"/>
      <c r="B33" s="9"/>
      <c r="C33" s="10"/>
      <c r="D33" s="84"/>
      <c r="E33" s="84"/>
      <c r="F33" s="84"/>
      <c r="G33" s="84"/>
      <c r="H33" s="84"/>
      <c r="I33" s="84"/>
      <c r="J33" s="88"/>
      <c r="K33" s="88"/>
      <c r="L33" s="88"/>
      <c r="M33" s="88"/>
      <c r="N33" s="88"/>
      <c r="O33" s="89"/>
      <c r="P33" s="90">
        <f t="shared" si="0"/>
        <v>0</v>
      </c>
      <c r="Q33" s="92">
        <f t="shared" si="1"/>
        <v>0</v>
      </c>
      <c r="R33" s="93">
        <f t="shared" si="2"/>
        <v>2</v>
      </c>
      <c r="S33" s="93" t="str">
        <f t="shared" si="3"/>
        <v>WASPADA</v>
      </c>
      <c r="T33" s="90">
        <f t="shared" si="8"/>
        <v>1.0000000000000001E-5</v>
      </c>
      <c r="U33" s="92">
        <f t="shared" si="9"/>
        <v>-99.999989999999997</v>
      </c>
      <c r="V33" s="93">
        <f t="shared" si="4"/>
        <v>3</v>
      </c>
      <c r="W33" s="93" t="str">
        <f t="shared" si="5"/>
        <v>AMAN</v>
      </c>
      <c r="X33" s="93">
        <f t="shared" si="6"/>
        <v>5</v>
      </c>
      <c r="Y33" s="93" t="str">
        <f t="shared" si="10"/>
        <v>WASPADA</v>
      </c>
      <c r="Z33" s="93" t="str">
        <f t="shared" si="7"/>
        <v>2</v>
      </c>
      <c r="AA33" s="94"/>
    </row>
    <row r="34" spans="1:27" x14ac:dyDescent="0.25">
      <c r="A34" s="8"/>
      <c r="B34" s="9"/>
      <c r="C34" s="10"/>
      <c r="D34" s="84"/>
      <c r="E34" s="84"/>
      <c r="F34" s="84"/>
      <c r="G34" s="84"/>
      <c r="H34" s="84"/>
      <c r="I34" s="84"/>
      <c r="J34" s="88"/>
      <c r="K34" s="88"/>
      <c r="L34" s="88"/>
      <c r="M34" s="88"/>
      <c r="N34" s="88"/>
      <c r="O34" s="89"/>
      <c r="P34" s="90">
        <f t="shared" si="0"/>
        <v>0</v>
      </c>
      <c r="Q34" s="92">
        <f t="shared" si="1"/>
        <v>0</v>
      </c>
      <c r="R34" s="93">
        <f t="shared" si="2"/>
        <v>2</v>
      </c>
      <c r="S34" s="93" t="str">
        <f t="shared" si="3"/>
        <v>WASPADA</v>
      </c>
      <c r="T34" s="90">
        <f t="shared" si="8"/>
        <v>1.0000000000000001E-5</v>
      </c>
      <c r="U34" s="92">
        <f t="shared" si="9"/>
        <v>-99.999989999999997</v>
      </c>
      <c r="V34" s="93">
        <f t="shared" si="4"/>
        <v>3</v>
      </c>
      <c r="W34" s="93" t="str">
        <f t="shared" si="5"/>
        <v>AMAN</v>
      </c>
      <c r="X34" s="93">
        <f t="shared" si="6"/>
        <v>5</v>
      </c>
      <c r="Y34" s="93" t="str">
        <f t="shared" si="10"/>
        <v>WASPADA</v>
      </c>
      <c r="Z34" s="93" t="str">
        <f t="shared" si="7"/>
        <v>2</v>
      </c>
      <c r="AA34" s="94"/>
    </row>
    <row r="35" spans="1:27" x14ac:dyDescent="0.25">
      <c r="A35" s="8"/>
      <c r="B35" s="9"/>
      <c r="C35" s="10"/>
      <c r="D35" s="84"/>
      <c r="E35" s="84"/>
      <c r="F35" s="84"/>
      <c r="G35" s="84"/>
      <c r="H35" s="84"/>
      <c r="I35" s="84"/>
      <c r="J35" s="88"/>
      <c r="K35" s="88"/>
      <c r="L35" s="88"/>
      <c r="M35" s="88"/>
      <c r="N35" s="88"/>
      <c r="O35" s="89"/>
      <c r="P35" s="90">
        <f t="shared" si="0"/>
        <v>0</v>
      </c>
      <c r="Q35" s="92">
        <f t="shared" si="1"/>
        <v>0</v>
      </c>
      <c r="R35" s="93">
        <f t="shared" si="2"/>
        <v>2</v>
      </c>
      <c r="S35" s="93" t="str">
        <f t="shared" si="3"/>
        <v>WASPADA</v>
      </c>
      <c r="T35" s="90">
        <f t="shared" si="8"/>
        <v>1.0000000000000001E-5</v>
      </c>
      <c r="U35" s="92">
        <f t="shared" si="9"/>
        <v>-99.999989999999997</v>
      </c>
      <c r="V35" s="93">
        <f t="shared" si="4"/>
        <v>3</v>
      </c>
      <c r="W35" s="93" t="str">
        <f t="shared" si="5"/>
        <v>AMAN</v>
      </c>
      <c r="X35" s="93">
        <f t="shared" si="6"/>
        <v>5</v>
      </c>
      <c r="Y35" s="93" t="str">
        <f t="shared" si="10"/>
        <v>WASPADA</v>
      </c>
      <c r="Z35" s="93" t="str">
        <f t="shared" si="7"/>
        <v>2</v>
      </c>
      <c r="AA35" s="94"/>
    </row>
    <row r="36" spans="1:27" x14ac:dyDescent="0.25">
      <c r="A36" s="8"/>
      <c r="B36" s="9"/>
      <c r="C36" s="10"/>
      <c r="D36" s="84"/>
      <c r="E36" s="84"/>
      <c r="F36" s="84"/>
      <c r="G36" s="84"/>
      <c r="H36" s="84"/>
      <c r="I36" s="84"/>
      <c r="J36" s="88"/>
      <c r="K36" s="88"/>
      <c r="L36" s="88"/>
      <c r="M36" s="88"/>
      <c r="N36" s="88"/>
      <c r="O36" s="89"/>
      <c r="P36" s="90">
        <f t="shared" si="0"/>
        <v>0</v>
      </c>
      <c r="Q36" s="92">
        <f t="shared" si="1"/>
        <v>0</v>
      </c>
      <c r="R36" s="93">
        <f t="shared" si="2"/>
        <v>2</v>
      </c>
      <c r="S36" s="93" t="str">
        <f t="shared" si="3"/>
        <v>WASPADA</v>
      </c>
      <c r="T36" s="90">
        <f t="shared" si="8"/>
        <v>1.0000000000000001E-5</v>
      </c>
      <c r="U36" s="92">
        <f t="shared" si="9"/>
        <v>-99.999989999999997</v>
      </c>
      <c r="V36" s="93">
        <f t="shared" si="4"/>
        <v>3</v>
      </c>
      <c r="W36" s="93" t="str">
        <f t="shared" si="5"/>
        <v>AMAN</v>
      </c>
      <c r="X36" s="93">
        <f t="shared" si="6"/>
        <v>5</v>
      </c>
      <c r="Y36" s="93" t="str">
        <f t="shared" si="10"/>
        <v>WASPADA</v>
      </c>
      <c r="Z36" s="93" t="str">
        <f t="shared" si="7"/>
        <v>2</v>
      </c>
      <c r="AA36" s="94"/>
    </row>
    <row r="37" spans="1:27" x14ac:dyDescent="0.25">
      <c r="A37" s="8"/>
      <c r="B37" s="9"/>
      <c r="C37" s="10"/>
      <c r="D37" s="84"/>
      <c r="E37" s="84"/>
      <c r="F37" s="84"/>
      <c r="G37" s="84"/>
      <c r="H37" s="84"/>
      <c r="I37" s="84"/>
      <c r="J37" s="88"/>
      <c r="K37" s="88"/>
      <c r="L37" s="88"/>
      <c r="M37" s="88"/>
      <c r="N37" s="88"/>
      <c r="O37" s="89"/>
      <c r="P37" s="90">
        <f t="shared" si="0"/>
        <v>0</v>
      </c>
      <c r="Q37" s="92">
        <f t="shared" si="1"/>
        <v>0</v>
      </c>
      <c r="R37" s="93">
        <f t="shared" si="2"/>
        <v>2</v>
      </c>
      <c r="S37" s="93" t="str">
        <f t="shared" si="3"/>
        <v>WASPADA</v>
      </c>
      <c r="T37" s="90">
        <f t="shared" si="8"/>
        <v>1.0000000000000001E-5</v>
      </c>
      <c r="U37" s="92">
        <f t="shared" si="9"/>
        <v>-99.999989999999997</v>
      </c>
      <c r="V37" s="93">
        <f t="shared" si="4"/>
        <v>3</v>
      </c>
      <c r="W37" s="93" t="str">
        <f t="shared" si="5"/>
        <v>AMAN</v>
      </c>
      <c r="X37" s="93">
        <f t="shared" si="6"/>
        <v>5</v>
      </c>
      <c r="Y37" s="93" t="str">
        <f t="shared" si="10"/>
        <v>WASPADA</v>
      </c>
      <c r="Z37" s="93" t="str">
        <f t="shared" si="7"/>
        <v>2</v>
      </c>
      <c r="AA37" s="94"/>
    </row>
    <row r="38" spans="1:27" x14ac:dyDescent="0.25">
      <c r="A38" s="8"/>
      <c r="B38" s="9"/>
      <c r="C38" s="10"/>
      <c r="D38" s="84"/>
      <c r="E38" s="84"/>
      <c r="F38" s="84"/>
      <c r="G38" s="84"/>
      <c r="H38" s="84"/>
      <c r="I38" s="84"/>
      <c r="J38" s="88"/>
      <c r="K38" s="88"/>
      <c r="L38" s="88"/>
      <c r="M38" s="88"/>
      <c r="N38" s="88"/>
      <c r="O38" s="89"/>
      <c r="P38" s="90">
        <f t="shared" si="0"/>
        <v>0</v>
      </c>
      <c r="Q38" s="92">
        <f t="shared" si="1"/>
        <v>0</v>
      </c>
      <c r="R38" s="93">
        <f t="shared" si="2"/>
        <v>2</v>
      </c>
      <c r="S38" s="93" t="str">
        <f t="shared" si="3"/>
        <v>WASPADA</v>
      </c>
      <c r="T38" s="90">
        <f t="shared" si="8"/>
        <v>1.0000000000000001E-5</v>
      </c>
      <c r="U38" s="92">
        <f t="shared" si="9"/>
        <v>-99.999989999999997</v>
      </c>
      <c r="V38" s="93">
        <f t="shared" si="4"/>
        <v>3</v>
      </c>
      <c r="W38" s="93" t="str">
        <f t="shared" si="5"/>
        <v>AMAN</v>
      </c>
      <c r="X38" s="93">
        <f t="shared" si="6"/>
        <v>5</v>
      </c>
      <c r="Y38" s="93" t="str">
        <f t="shared" si="10"/>
        <v>WASPADA</v>
      </c>
      <c r="Z38" s="93" t="str">
        <f t="shared" si="7"/>
        <v>2</v>
      </c>
      <c r="AA38" s="94"/>
    </row>
    <row r="39" spans="1:27" x14ac:dyDescent="0.25">
      <c r="A39" s="117" t="str">
        <f>B3&amp;""&amp;B6</f>
        <v>PROVINSI</v>
      </c>
      <c r="B39" s="117"/>
      <c r="C39" s="117"/>
      <c r="D39" s="103">
        <f>SUM(D6:D38)</f>
        <v>0</v>
      </c>
      <c r="E39" s="103">
        <f t="shared" ref="E39:O39" si="11">SUM(E6:E38)</f>
        <v>0</v>
      </c>
      <c r="F39" s="103">
        <f t="shared" si="11"/>
        <v>0</v>
      </c>
      <c r="G39" s="103">
        <f t="shared" si="11"/>
        <v>0</v>
      </c>
      <c r="H39" s="103">
        <f t="shared" si="11"/>
        <v>0</v>
      </c>
      <c r="I39" s="103">
        <f t="shared" si="11"/>
        <v>0</v>
      </c>
      <c r="J39" s="103">
        <f t="shared" si="11"/>
        <v>0</v>
      </c>
      <c r="K39" s="103">
        <f t="shared" si="11"/>
        <v>0</v>
      </c>
      <c r="L39" s="103">
        <f t="shared" si="11"/>
        <v>0</v>
      </c>
      <c r="M39" s="103">
        <f t="shared" si="11"/>
        <v>0</v>
      </c>
      <c r="N39" s="103">
        <f t="shared" si="11"/>
        <v>0</v>
      </c>
      <c r="O39" s="103">
        <f t="shared" si="11"/>
        <v>0</v>
      </c>
      <c r="P39" s="104">
        <f t="shared" si="0"/>
        <v>0</v>
      </c>
      <c r="Q39" s="105">
        <f t="shared" si="1"/>
        <v>0</v>
      </c>
      <c r="R39" s="106">
        <f t="shared" si="2"/>
        <v>2</v>
      </c>
      <c r="S39" s="106" t="str">
        <f t="shared" si="3"/>
        <v>WASPADA</v>
      </c>
      <c r="T39" s="104">
        <f t="shared" si="8"/>
        <v>1.0000000000000001E-5</v>
      </c>
      <c r="U39" s="105">
        <f t="shared" si="9"/>
        <v>-99.999989999999997</v>
      </c>
      <c r="V39" s="106">
        <f t="shared" si="4"/>
        <v>3</v>
      </c>
      <c r="W39" s="106" t="str">
        <f t="shared" si="5"/>
        <v>AMAN</v>
      </c>
      <c r="X39" s="106">
        <f t="shared" si="6"/>
        <v>5</v>
      </c>
      <c r="Y39" s="106" t="str">
        <f>IF(X39="","",IF(X39&lt;=3,"RENTAN",IF(X39&gt;5,"AMAN","WASPADA")))</f>
        <v>WASPADA</v>
      </c>
      <c r="Z39" s="106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0" priority="139" operator="equal">
      <formula>"AMAN"</formula>
    </cfRule>
    <cfRule type="cellIs" dxfId="19" priority="140" operator="equal">
      <formula>"WASPADA"</formula>
    </cfRule>
    <cfRule type="cellIs" dxfId="18" priority="141" operator="equal">
      <formula>"RENTAN"</formula>
    </cfRule>
  </conditionalFormatting>
  <conditionalFormatting sqref="Y6:Z39">
    <cfRule type="cellIs" dxfId="17" priority="136" operator="equal">
      <formula>"AMAN"</formula>
    </cfRule>
    <cfRule type="cellIs" dxfId="16" priority="137" operator="equal">
      <formula>"WASPADA"</formula>
    </cfRule>
    <cfRule type="cellIs" dxfId="15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D7" activePane="bottomRight" state="frozen"/>
      <selection pane="topRight"/>
      <selection pane="bottomLeft"/>
      <selection pane="bottomRight" activeCell="E25" sqref="E25"/>
    </sheetView>
  </sheetViews>
  <sheetFormatPr defaultColWidth="0" defaultRowHeight="15" x14ac:dyDescent="0.25"/>
  <cols>
    <col min="1" max="1" width="5.28515625" style="47" customWidth="1"/>
    <col min="2" max="2" width="21.28515625" style="47" customWidth="1"/>
    <col min="3" max="3" width="37.5703125" style="47" customWidth="1"/>
    <col min="4" max="27" width="10.28515625" style="47" customWidth="1"/>
    <col min="28" max="28" width="10.7109375" style="48" customWidth="1"/>
    <col min="29" max="29" width="10.7109375" style="49" customWidth="1"/>
    <col min="30" max="30" width="10.7109375" style="47" customWidth="1"/>
    <col min="31" max="31" width="10.7109375" style="48" customWidth="1"/>
    <col min="32" max="32" width="10.7109375" style="49" customWidth="1"/>
    <col min="33" max="33" width="10.7109375" style="47" customWidth="1"/>
    <col min="34" max="34" width="10.7109375" style="48" customWidth="1"/>
    <col min="35" max="35" width="10.7109375" style="49" customWidth="1"/>
    <col min="36" max="36" width="10.7109375" style="47" customWidth="1"/>
    <col min="37" max="37" width="10.7109375" style="48" customWidth="1"/>
    <col min="38" max="38" width="10.7109375" style="49" customWidth="1"/>
    <col min="39" max="39" width="10.7109375" style="47" customWidth="1"/>
    <col min="40" max="40" width="10.7109375" style="48" customWidth="1"/>
    <col min="41" max="41" width="10.7109375" style="49" customWidth="1"/>
    <col min="42" max="42" width="10.7109375" style="47" customWidth="1"/>
    <col min="43" max="43" width="10.7109375" style="48" customWidth="1"/>
    <col min="44" max="44" width="10.7109375" style="49" customWidth="1"/>
    <col min="45" max="45" width="10.7109375" style="47" customWidth="1"/>
    <col min="46" max="48" width="10.7109375" style="50" customWidth="1"/>
    <col min="49" max="49" width="9" style="47" customWidth="1"/>
    <col min="50" max="50" width="9" style="47" hidden="1" customWidth="1"/>
    <col min="51" max="16384" width="9" style="47" hidden="1"/>
  </cols>
  <sheetData>
    <row r="1" spans="1:49" ht="18.75" x14ac:dyDescent="0.25">
      <c r="A1" s="121" t="s">
        <v>566</v>
      </c>
      <c r="B1" s="121"/>
      <c r="C1" s="12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66"/>
      <c r="AC1" s="67"/>
      <c r="AD1" s="51"/>
      <c r="AE1" s="66"/>
      <c r="AF1" s="67"/>
      <c r="AG1" s="51"/>
      <c r="AH1" s="66"/>
      <c r="AI1" s="67"/>
      <c r="AJ1" s="51"/>
      <c r="AK1" s="66"/>
      <c r="AL1" s="67"/>
      <c r="AM1" s="51"/>
      <c r="AN1" s="66"/>
      <c r="AO1" s="67"/>
      <c r="AP1" s="51"/>
      <c r="AQ1" s="66"/>
      <c r="AR1" s="67"/>
      <c r="AS1" s="51"/>
    </row>
    <row r="2" spans="1:49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66"/>
      <c r="AC2" s="67"/>
      <c r="AD2" s="52"/>
      <c r="AE2" s="66"/>
      <c r="AF2" s="67"/>
      <c r="AG2" s="52"/>
      <c r="AH2" s="66"/>
      <c r="AI2" s="67"/>
      <c r="AJ2" s="52"/>
      <c r="AK2" s="66"/>
      <c r="AL2" s="67"/>
      <c r="AM2" s="52"/>
      <c r="AN2" s="66"/>
      <c r="AO2" s="67"/>
      <c r="AP2" s="52"/>
      <c r="AQ2" s="66"/>
      <c r="AR2" s="67"/>
      <c r="AS2" s="52"/>
    </row>
    <row r="3" spans="1:49" s="46" customFormat="1" ht="15.75" x14ac:dyDescent="0.25">
      <c r="A3" s="125" t="s">
        <v>3</v>
      </c>
      <c r="B3" s="125" t="s">
        <v>609</v>
      </c>
      <c r="C3" s="125" t="s">
        <v>610</v>
      </c>
      <c r="D3" s="126" t="s">
        <v>567</v>
      </c>
      <c r="E3" s="128"/>
      <c r="F3" s="128"/>
      <c r="G3" s="126" t="s">
        <v>10</v>
      </c>
      <c r="H3" s="127" t="s">
        <v>568</v>
      </c>
      <c r="I3" s="141"/>
      <c r="J3" s="141"/>
      <c r="K3" s="127" t="s">
        <v>10</v>
      </c>
      <c r="L3" s="135" t="s">
        <v>569</v>
      </c>
      <c r="M3" s="143"/>
      <c r="N3" s="143"/>
      <c r="O3" s="135" t="s">
        <v>10</v>
      </c>
      <c r="P3" s="129" t="s">
        <v>570</v>
      </c>
      <c r="Q3" s="130"/>
      <c r="R3" s="130"/>
      <c r="S3" s="129" t="s">
        <v>10</v>
      </c>
      <c r="T3" s="136" t="s">
        <v>571</v>
      </c>
      <c r="U3" s="142"/>
      <c r="V3" s="142"/>
      <c r="W3" s="136" t="s">
        <v>10</v>
      </c>
      <c r="X3" s="144" t="s">
        <v>572</v>
      </c>
      <c r="Y3" s="145"/>
      <c r="Z3" s="146"/>
      <c r="AA3" s="137" t="s">
        <v>10</v>
      </c>
      <c r="AB3" s="122" t="s">
        <v>573</v>
      </c>
      <c r="AC3" s="123"/>
      <c r="AD3" s="124"/>
      <c r="AE3" s="122" t="s">
        <v>574</v>
      </c>
      <c r="AF3" s="123"/>
      <c r="AG3" s="124"/>
      <c r="AH3" s="122" t="s">
        <v>575</v>
      </c>
      <c r="AI3" s="123"/>
      <c r="AJ3" s="124"/>
      <c r="AK3" s="122" t="s">
        <v>576</v>
      </c>
      <c r="AL3" s="123"/>
      <c r="AM3" s="124"/>
      <c r="AN3" s="122" t="s">
        <v>577</v>
      </c>
      <c r="AO3" s="123"/>
      <c r="AP3" s="124"/>
      <c r="AQ3" s="150" t="s">
        <v>578</v>
      </c>
      <c r="AR3" s="151"/>
      <c r="AS3" s="152"/>
      <c r="AT3" s="140" t="s">
        <v>579</v>
      </c>
      <c r="AU3" s="140"/>
      <c r="AV3" s="140"/>
    </row>
    <row r="4" spans="1:49" s="46" customFormat="1" ht="15.75" x14ac:dyDescent="0.25">
      <c r="A4" s="125"/>
      <c r="B4" s="125"/>
      <c r="C4" s="125"/>
      <c r="D4" s="128"/>
      <c r="E4" s="128"/>
      <c r="F4" s="128"/>
      <c r="G4" s="126"/>
      <c r="H4" s="141"/>
      <c r="I4" s="141"/>
      <c r="J4" s="141"/>
      <c r="K4" s="127"/>
      <c r="L4" s="143"/>
      <c r="M4" s="143"/>
      <c r="N4" s="143"/>
      <c r="O4" s="135"/>
      <c r="P4" s="130"/>
      <c r="Q4" s="130"/>
      <c r="R4" s="130"/>
      <c r="S4" s="129"/>
      <c r="T4" s="142"/>
      <c r="U4" s="142"/>
      <c r="V4" s="142"/>
      <c r="W4" s="136"/>
      <c r="X4" s="147"/>
      <c r="Y4" s="148"/>
      <c r="Z4" s="149"/>
      <c r="AA4" s="138"/>
      <c r="AB4" s="133" t="s">
        <v>580</v>
      </c>
      <c r="AC4" s="131" t="s">
        <v>13</v>
      </c>
      <c r="AD4" s="133" t="s">
        <v>14</v>
      </c>
      <c r="AE4" s="133" t="s">
        <v>580</v>
      </c>
      <c r="AF4" s="131" t="s">
        <v>13</v>
      </c>
      <c r="AG4" s="133" t="s">
        <v>14</v>
      </c>
      <c r="AH4" s="133" t="s">
        <v>580</v>
      </c>
      <c r="AI4" s="131" t="s">
        <v>13</v>
      </c>
      <c r="AJ4" s="133" t="s">
        <v>14</v>
      </c>
      <c r="AK4" s="133" t="s">
        <v>580</v>
      </c>
      <c r="AL4" s="131" t="s">
        <v>13</v>
      </c>
      <c r="AM4" s="133" t="s">
        <v>14</v>
      </c>
      <c r="AN4" s="133" t="s">
        <v>580</v>
      </c>
      <c r="AO4" s="131" t="s">
        <v>13</v>
      </c>
      <c r="AP4" s="133" t="s">
        <v>14</v>
      </c>
      <c r="AQ4" s="133" t="s">
        <v>580</v>
      </c>
      <c r="AR4" s="131" t="s">
        <v>13</v>
      </c>
      <c r="AS4" s="133" t="s">
        <v>14</v>
      </c>
      <c r="AT4" s="140"/>
      <c r="AU4" s="140"/>
      <c r="AV4" s="140"/>
    </row>
    <row r="5" spans="1:49" s="46" customFormat="1" ht="21" customHeight="1" x14ac:dyDescent="0.25">
      <c r="A5" s="125"/>
      <c r="B5" s="125"/>
      <c r="C5" s="125"/>
      <c r="D5" s="53">
        <f>IK!$E$1-85</f>
        <v>45328</v>
      </c>
      <c r="E5" s="53">
        <f>IK!$E$1-55</f>
        <v>45358</v>
      </c>
      <c r="F5" s="53">
        <f>IK!$E$1-25</f>
        <v>45388</v>
      </c>
      <c r="G5" s="53">
        <f>IK!$E$1</f>
        <v>45413</v>
      </c>
      <c r="H5" s="54">
        <f t="shared" ref="H5:AA5" si="0">D5</f>
        <v>45328</v>
      </c>
      <c r="I5" s="54">
        <f t="shared" si="0"/>
        <v>45358</v>
      </c>
      <c r="J5" s="54">
        <f t="shared" si="0"/>
        <v>45388</v>
      </c>
      <c r="K5" s="57">
        <f t="shared" si="0"/>
        <v>45413</v>
      </c>
      <c r="L5" s="58">
        <f t="shared" si="0"/>
        <v>45328</v>
      </c>
      <c r="M5" s="58">
        <f t="shared" si="0"/>
        <v>45358</v>
      </c>
      <c r="N5" s="58">
        <f t="shared" si="0"/>
        <v>45388</v>
      </c>
      <c r="O5" s="59">
        <f t="shared" si="0"/>
        <v>45413</v>
      </c>
      <c r="P5" s="60">
        <f t="shared" si="0"/>
        <v>45328</v>
      </c>
      <c r="Q5" s="60">
        <f t="shared" si="0"/>
        <v>45358</v>
      </c>
      <c r="R5" s="60">
        <f t="shared" si="0"/>
        <v>45388</v>
      </c>
      <c r="S5" s="61">
        <f t="shared" si="0"/>
        <v>45413</v>
      </c>
      <c r="T5" s="62">
        <f t="shared" si="0"/>
        <v>45328</v>
      </c>
      <c r="U5" s="62">
        <f t="shared" si="0"/>
        <v>45358</v>
      </c>
      <c r="V5" s="62">
        <f t="shared" si="0"/>
        <v>45388</v>
      </c>
      <c r="W5" s="63">
        <f t="shared" si="0"/>
        <v>45413</v>
      </c>
      <c r="X5" s="64">
        <f t="shared" si="0"/>
        <v>45328</v>
      </c>
      <c r="Y5" s="64">
        <f t="shared" si="0"/>
        <v>45358</v>
      </c>
      <c r="Z5" s="64">
        <f t="shared" si="0"/>
        <v>45388</v>
      </c>
      <c r="AA5" s="68">
        <f t="shared" si="0"/>
        <v>45413</v>
      </c>
      <c r="AB5" s="134"/>
      <c r="AC5" s="132"/>
      <c r="AD5" s="134"/>
      <c r="AE5" s="134"/>
      <c r="AF5" s="132"/>
      <c r="AG5" s="134"/>
      <c r="AH5" s="134"/>
      <c r="AI5" s="132"/>
      <c r="AJ5" s="134"/>
      <c r="AK5" s="134"/>
      <c r="AL5" s="132"/>
      <c r="AM5" s="134"/>
      <c r="AN5" s="134"/>
      <c r="AO5" s="132"/>
      <c r="AP5" s="134"/>
      <c r="AQ5" s="134"/>
      <c r="AR5" s="132"/>
      <c r="AS5" s="134"/>
      <c r="AT5" s="73" t="s">
        <v>581</v>
      </c>
      <c r="AU5" s="73" t="s">
        <v>582</v>
      </c>
      <c r="AV5" s="73" t="s">
        <v>583</v>
      </c>
      <c r="AW5" s="75"/>
    </row>
    <row r="6" spans="1:49" ht="15.75" x14ac:dyDescent="0.25">
      <c r="A6" s="109">
        <v>1</v>
      </c>
      <c r="B6" s="109" t="s">
        <v>611</v>
      </c>
      <c r="C6" s="109" t="s">
        <v>612</v>
      </c>
      <c r="D6" s="55">
        <v>12000</v>
      </c>
      <c r="E6" s="55">
        <v>13000</v>
      </c>
      <c r="F6" s="55">
        <v>11560</v>
      </c>
      <c r="G6" s="56">
        <v>12000</v>
      </c>
      <c r="H6" s="55">
        <v>9000</v>
      </c>
      <c r="I6" s="55">
        <v>9000</v>
      </c>
      <c r="J6" s="55">
        <v>9000</v>
      </c>
      <c r="K6" s="55">
        <v>9000</v>
      </c>
      <c r="L6" s="55">
        <v>13550</v>
      </c>
      <c r="M6" s="55">
        <v>14000</v>
      </c>
      <c r="N6" s="55">
        <v>14000</v>
      </c>
      <c r="O6" s="55">
        <v>14000</v>
      </c>
      <c r="P6" s="55">
        <v>15000</v>
      </c>
      <c r="Q6" s="55">
        <v>16230</v>
      </c>
      <c r="R6" s="55">
        <v>16000</v>
      </c>
      <c r="S6" s="56">
        <v>15950</v>
      </c>
      <c r="T6" s="65">
        <v>39100</v>
      </c>
      <c r="U6" s="65">
        <v>40000</v>
      </c>
      <c r="V6" s="65">
        <v>40000</v>
      </c>
      <c r="W6" s="65">
        <v>39850</v>
      </c>
      <c r="X6" s="65">
        <v>27700</v>
      </c>
      <c r="Y6" s="65">
        <v>28000</v>
      </c>
      <c r="Z6" s="65">
        <v>27375</v>
      </c>
      <c r="AA6" s="56">
        <v>30300</v>
      </c>
      <c r="AB6" s="69">
        <f t="shared" ref="AB6:AB14" si="1">IF(ISERROR(AVERAGE(D6:F6)),0,AVERAGE(D6:F6))</f>
        <v>12186.666666666666</v>
      </c>
      <c r="AC6" s="70">
        <f t="shared" ref="AC6:AC14" si="2">IF(ISERROR(((G6-AB6)/AB6)*100),0,((G6-AB6)/AB6)*100)</f>
        <v>-1.5317286652078725</v>
      </c>
      <c r="AD6" s="71">
        <f t="shared" ref="AD6:AD14" si="3">IF(AC6="","",IF(AC6&gt;10,1,IF(AC6&lt;5,3,2)))</f>
        <v>3</v>
      </c>
      <c r="AE6" s="69">
        <f t="shared" ref="AE6:AE14" si="4">IF(ISERROR(AVERAGE(H6:J6)),0,AVERAGE(H6:J6))</f>
        <v>9000</v>
      </c>
      <c r="AF6" s="70">
        <f t="shared" ref="AF6:AF14" si="5">IF(ISERROR(((K6-AE6)/AE6)*100),0,((K6-AE6)/AE6)*100)</f>
        <v>0</v>
      </c>
      <c r="AG6" s="71">
        <f t="shared" ref="AG6:AG14" si="6">IF(AF6="","",IF(AF6&gt;15,1,IF(AF6&lt;5,3,2)))</f>
        <v>3</v>
      </c>
      <c r="AH6" s="69">
        <f t="shared" ref="AH6:AH14" si="7">IF(ISERROR(AVERAGE(L6:N6)),0,AVERAGE(L6:N6))</f>
        <v>13850</v>
      </c>
      <c r="AI6" s="70">
        <f t="shared" ref="AI6:AI14" si="8">IF(ISERROR(((O6-AH6)/AH6)*100),0,((O6-AH6)/AH6)*100)</f>
        <v>1.0830324909747291</v>
      </c>
      <c r="AJ6" s="71">
        <f t="shared" ref="AJ6:AJ14" si="9">IF(AI6="","",IF(AI6&gt;15,1,IF(AI6&lt;5,3,2)))</f>
        <v>3</v>
      </c>
      <c r="AK6" s="69">
        <f t="shared" ref="AK6:AK14" si="10">IF(ISERROR(AVERAGE(P6:R6)),0,AVERAGE(P6:R6))</f>
        <v>15743.333333333334</v>
      </c>
      <c r="AL6" s="70">
        <f t="shared" ref="AL6:AL14" si="11">IF(ISERROR(((S6-AK6)/AK6)*100),0,((S6-AK6)/AK6)*100)</f>
        <v>1.3127249629472755</v>
      </c>
      <c r="AM6" s="71">
        <f t="shared" ref="AM6:AM14" si="12">IF(AL6="","",IF(AL6&gt;15,1,IF(AL6&lt;5,3,2)))</f>
        <v>3</v>
      </c>
      <c r="AN6" s="69">
        <f t="shared" ref="AN6:AN14" si="13">IF(ISERROR(AVERAGE(T6:V6)),0,AVERAGE(T6:V6))</f>
        <v>39700</v>
      </c>
      <c r="AO6" s="70">
        <f t="shared" ref="AO6:AO14" si="14">IF(ISERROR(((W6-AN6)/AN6)*100),0,((W6-AN6)/AN6)*100)</f>
        <v>0.37783375314861462</v>
      </c>
      <c r="AP6" s="71">
        <f t="shared" ref="AP6:AP14" si="15">IF(AO6="","",IF(AO6&gt;15,1,IF(AO6&lt;5,3,2)))</f>
        <v>3</v>
      </c>
      <c r="AQ6" s="69">
        <f t="shared" ref="AQ6:AQ14" si="16">IF(ISERROR(AVERAGE(X6:Z6)),0,AVERAGE(X6:Z6))</f>
        <v>27691.666666666668</v>
      </c>
      <c r="AR6" s="70">
        <f t="shared" ref="AR6:AR14" si="17">IF(ISERROR(((AA6-AQ6)/AQ6)*100),0,((AA6-AQ6)/AQ6)*100)</f>
        <v>9.4191995185073676</v>
      </c>
      <c r="AS6" s="71">
        <f t="shared" ref="AS6:AS14" si="18">IF(AR6="","",IF(AR6&gt;15,1,IF(AR6&lt;5,3,2)))</f>
        <v>2</v>
      </c>
      <c r="AT6" s="74">
        <f t="shared" ref="AT6:AT14" si="19">IF(ISERROR(AD6+AG6+AJ6+AM6+AP6+AS6),"",AD6+AG6+AJ6+AM6+AP6+AS6)</f>
        <v>17</v>
      </c>
      <c r="AU6" s="74" t="str">
        <f>IF(AT6="","",IF(AT6&lt;=9,"RENTAN",IF(AT6&gt;13,"AMAN","WASPADA")))</f>
        <v>AMAN</v>
      </c>
      <c r="AV6" s="74" t="str">
        <f>IF(AU6="","",IF(AU6="AMAN","3",IF(AU6="RENTAN","1","2")))</f>
        <v>3</v>
      </c>
    </row>
    <row r="7" spans="1:49" ht="15.75" x14ac:dyDescent="0.25">
      <c r="A7" s="109"/>
      <c r="B7" s="109"/>
      <c r="C7" s="109" t="s">
        <v>613</v>
      </c>
      <c r="D7" s="55">
        <v>12000</v>
      </c>
      <c r="E7" s="55">
        <v>13000</v>
      </c>
      <c r="F7" s="55">
        <v>11560</v>
      </c>
      <c r="G7" s="56">
        <v>12000</v>
      </c>
      <c r="H7" s="55">
        <v>9000</v>
      </c>
      <c r="I7" s="55">
        <v>9000</v>
      </c>
      <c r="J7" s="55">
        <v>9000</v>
      </c>
      <c r="K7" s="55">
        <v>9000</v>
      </c>
      <c r="L7" s="55">
        <v>13550</v>
      </c>
      <c r="M7" s="55">
        <v>14000</v>
      </c>
      <c r="N7" s="55">
        <v>14000</v>
      </c>
      <c r="O7" s="55">
        <v>14000</v>
      </c>
      <c r="P7" s="55">
        <v>15000</v>
      </c>
      <c r="Q7" s="55">
        <v>16230</v>
      </c>
      <c r="R7" s="55">
        <v>16000</v>
      </c>
      <c r="S7" s="56">
        <v>15950</v>
      </c>
      <c r="T7" s="65">
        <v>39100</v>
      </c>
      <c r="U7" s="65">
        <v>40000</v>
      </c>
      <c r="V7" s="65">
        <v>40000</v>
      </c>
      <c r="W7" s="65">
        <v>39850</v>
      </c>
      <c r="X7" s="65">
        <v>27700</v>
      </c>
      <c r="Y7" s="65">
        <v>28000</v>
      </c>
      <c r="Z7" s="65">
        <v>27375</v>
      </c>
      <c r="AA7" s="56">
        <v>30300</v>
      </c>
      <c r="AB7" s="69">
        <f t="shared" si="1"/>
        <v>12186.666666666666</v>
      </c>
      <c r="AC7" s="70">
        <f t="shared" si="2"/>
        <v>-1.5317286652078725</v>
      </c>
      <c r="AD7" s="71">
        <f t="shared" si="3"/>
        <v>3</v>
      </c>
      <c r="AE7" s="69">
        <f t="shared" si="4"/>
        <v>9000</v>
      </c>
      <c r="AF7" s="70">
        <f t="shared" si="5"/>
        <v>0</v>
      </c>
      <c r="AG7" s="71">
        <f t="shared" si="6"/>
        <v>3</v>
      </c>
      <c r="AH7" s="69">
        <f t="shared" si="7"/>
        <v>13850</v>
      </c>
      <c r="AI7" s="70">
        <f t="shared" si="8"/>
        <v>1.0830324909747291</v>
      </c>
      <c r="AJ7" s="71">
        <f t="shared" si="9"/>
        <v>3</v>
      </c>
      <c r="AK7" s="69">
        <f t="shared" si="10"/>
        <v>15743.333333333334</v>
      </c>
      <c r="AL7" s="70">
        <f t="shared" si="11"/>
        <v>1.3127249629472755</v>
      </c>
      <c r="AM7" s="71">
        <f t="shared" si="12"/>
        <v>3</v>
      </c>
      <c r="AN7" s="69">
        <f t="shared" si="13"/>
        <v>39700</v>
      </c>
      <c r="AO7" s="70">
        <f t="shared" si="14"/>
        <v>0.37783375314861462</v>
      </c>
      <c r="AP7" s="71">
        <f t="shared" si="15"/>
        <v>3</v>
      </c>
      <c r="AQ7" s="69">
        <f t="shared" si="16"/>
        <v>27691.666666666668</v>
      </c>
      <c r="AR7" s="70">
        <f t="shared" si="17"/>
        <v>9.4191995185073676</v>
      </c>
      <c r="AS7" s="71">
        <f t="shared" si="18"/>
        <v>2</v>
      </c>
      <c r="AT7" s="74">
        <f t="shared" si="19"/>
        <v>17</v>
      </c>
      <c r="AU7" s="74" t="str">
        <f t="shared" ref="AU7:AU14" si="20">IF(AT7="","",IF(AT7&lt;=9,"RENTAN",IF(AT7&gt;13,"AMAN","WASPADA")))</f>
        <v>AMAN</v>
      </c>
      <c r="AV7" s="74" t="str">
        <f t="shared" ref="AV7:AV14" si="21">IF(AU7="","",IF(AU7="AMAN","3",IF(AU7="RENTAN","1","2")))</f>
        <v>3</v>
      </c>
    </row>
    <row r="8" spans="1:49" ht="15.75" x14ac:dyDescent="0.25">
      <c r="A8" s="109"/>
      <c r="B8" s="109"/>
      <c r="C8" s="109" t="s">
        <v>614</v>
      </c>
      <c r="D8" s="55">
        <v>12000</v>
      </c>
      <c r="E8" s="55">
        <v>13000</v>
      </c>
      <c r="F8" s="55">
        <v>11560</v>
      </c>
      <c r="G8" s="56">
        <v>12000</v>
      </c>
      <c r="H8" s="55">
        <v>9000</v>
      </c>
      <c r="I8" s="55">
        <v>9000</v>
      </c>
      <c r="J8" s="55">
        <v>9000</v>
      </c>
      <c r="K8" s="55">
        <v>9000</v>
      </c>
      <c r="L8" s="55">
        <v>13550</v>
      </c>
      <c r="M8" s="55">
        <v>14000</v>
      </c>
      <c r="N8" s="55">
        <v>14000</v>
      </c>
      <c r="O8" s="55">
        <v>14000</v>
      </c>
      <c r="P8" s="55">
        <v>15000</v>
      </c>
      <c r="Q8" s="55">
        <v>16230</v>
      </c>
      <c r="R8" s="55">
        <v>16000</v>
      </c>
      <c r="S8" s="56">
        <v>15950</v>
      </c>
      <c r="T8" s="65">
        <v>39100</v>
      </c>
      <c r="U8" s="65">
        <v>40000</v>
      </c>
      <c r="V8" s="65">
        <v>40000</v>
      </c>
      <c r="W8" s="65">
        <v>39850</v>
      </c>
      <c r="X8" s="65">
        <v>27700</v>
      </c>
      <c r="Y8" s="65">
        <v>28000</v>
      </c>
      <c r="Z8" s="65">
        <v>27375</v>
      </c>
      <c r="AA8" s="56">
        <v>30300</v>
      </c>
      <c r="AB8" s="69">
        <f t="shared" si="1"/>
        <v>12186.666666666666</v>
      </c>
      <c r="AC8" s="70">
        <f t="shared" si="2"/>
        <v>-1.5317286652078725</v>
      </c>
      <c r="AD8" s="71">
        <f t="shared" si="3"/>
        <v>3</v>
      </c>
      <c r="AE8" s="69">
        <f t="shared" si="4"/>
        <v>9000</v>
      </c>
      <c r="AF8" s="70">
        <f t="shared" si="5"/>
        <v>0</v>
      </c>
      <c r="AG8" s="71">
        <f t="shared" si="6"/>
        <v>3</v>
      </c>
      <c r="AH8" s="69">
        <f t="shared" si="7"/>
        <v>13850</v>
      </c>
      <c r="AI8" s="70">
        <f t="shared" si="8"/>
        <v>1.0830324909747291</v>
      </c>
      <c r="AJ8" s="71">
        <f t="shared" si="9"/>
        <v>3</v>
      </c>
      <c r="AK8" s="69">
        <f t="shared" si="10"/>
        <v>15743.333333333334</v>
      </c>
      <c r="AL8" s="70">
        <f t="shared" si="11"/>
        <v>1.3127249629472755</v>
      </c>
      <c r="AM8" s="71">
        <f t="shared" si="12"/>
        <v>3</v>
      </c>
      <c r="AN8" s="69">
        <f t="shared" si="13"/>
        <v>39700</v>
      </c>
      <c r="AO8" s="70">
        <f t="shared" si="14"/>
        <v>0.37783375314861462</v>
      </c>
      <c r="AP8" s="71">
        <f t="shared" si="15"/>
        <v>3</v>
      </c>
      <c r="AQ8" s="69">
        <f t="shared" si="16"/>
        <v>27691.666666666668</v>
      </c>
      <c r="AR8" s="70">
        <f t="shared" si="17"/>
        <v>9.4191995185073676</v>
      </c>
      <c r="AS8" s="71">
        <f t="shared" si="18"/>
        <v>2</v>
      </c>
      <c r="AT8" s="74">
        <f t="shared" si="19"/>
        <v>17</v>
      </c>
      <c r="AU8" s="74" t="str">
        <f t="shared" si="20"/>
        <v>AMAN</v>
      </c>
      <c r="AV8" s="74" t="str">
        <f t="shared" si="21"/>
        <v>3</v>
      </c>
    </row>
    <row r="9" spans="1:49" ht="15.75" x14ac:dyDescent="0.25">
      <c r="A9" s="109"/>
      <c r="B9" s="109"/>
      <c r="C9" s="109" t="s">
        <v>615</v>
      </c>
      <c r="D9" s="55">
        <v>12000</v>
      </c>
      <c r="E9" s="55">
        <v>13000</v>
      </c>
      <c r="F9" s="55">
        <v>11560</v>
      </c>
      <c r="G9" s="56">
        <v>12000</v>
      </c>
      <c r="H9" s="55">
        <v>9000</v>
      </c>
      <c r="I9" s="55">
        <v>9000</v>
      </c>
      <c r="J9" s="55">
        <v>9000</v>
      </c>
      <c r="K9" s="55">
        <v>9000</v>
      </c>
      <c r="L9" s="55">
        <v>13550</v>
      </c>
      <c r="M9" s="55">
        <v>14000</v>
      </c>
      <c r="N9" s="55">
        <v>14000</v>
      </c>
      <c r="O9" s="55">
        <v>14000</v>
      </c>
      <c r="P9" s="55">
        <v>15000</v>
      </c>
      <c r="Q9" s="55">
        <v>16230</v>
      </c>
      <c r="R9" s="55">
        <v>16000</v>
      </c>
      <c r="S9" s="56">
        <v>15950</v>
      </c>
      <c r="T9" s="65">
        <v>39100</v>
      </c>
      <c r="U9" s="65">
        <v>40000</v>
      </c>
      <c r="V9" s="65">
        <v>40000</v>
      </c>
      <c r="W9" s="65">
        <v>39850</v>
      </c>
      <c r="X9" s="65">
        <v>27700</v>
      </c>
      <c r="Y9" s="65">
        <v>28000</v>
      </c>
      <c r="Z9" s="65">
        <v>27375</v>
      </c>
      <c r="AA9" s="56">
        <v>30300</v>
      </c>
      <c r="AB9" s="69">
        <f t="shared" si="1"/>
        <v>12186.666666666666</v>
      </c>
      <c r="AC9" s="70">
        <f t="shared" si="2"/>
        <v>-1.5317286652078725</v>
      </c>
      <c r="AD9" s="71">
        <f t="shared" si="3"/>
        <v>3</v>
      </c>
      <c r="AE9" s="69">
        <f t="shared" si="4"/>
        <v>9000</v>
      </c>
      <c r="AF9" s="70">
        <f t="shared" si="5"/>
        <v>0</v>
      </c>
      <c r="AG9" s="71">
        <f t="shared" si="6"/>
        <v>3</v>
      </c>
      <c r="AH9" s="69">
        <f t="shared" si="7"/>
        <v>13850</v>
      </c>
      <c r="AI9" s="70">
        <f t="shared" si="8"/>
        <v>1.0830324909747291</v>
      </c>
      <c r="AJ9" s="71">
        <f t="shared" si="9"/>
        <v>3</v>
      </c>
      <c r="AK9" s="69">
        <f t="shared" si="10"/>
        <v>15743.333333333334</v>
      </c>
      <c r="AL9" s="70">
        <f t="shared" si="11"/>
        <v>1.3127249629472755</v>
      </c>
      <c r="AM9" s="71">
        <f t="shared" si="12"/>
        <v>3</v>
      </c>
      <c r="AN9" s="69">
        <f t="shared" si="13"/>
        <v>39700</v>
      </c>
      <c r="AO9" s="70">
        <f t="shared" si="14"/>
        <v>0.37783375314861462</v>
      </c>
      <c r="AP9" s="71">
        <f t="shared" si="15"/>
        <v>3</v>
      </c>
      <c r="AQ9" s="69">
        <f t="shared" si="16"/>
        <v>27691.666666666668</v>
      </c>
      <c r="AR9" s="70">
        <f t="shared" si="17"/>
        <v>9.4191995185073676</v>
      </c>
      <c r="AS9" s="71">
        <f t="shared" si="18"/>
        <v>2</v>
      </c>
      <c r="AT9" s="74">
        <f t="shared" si="19"/>
        <v>17</v>
      </c>
      <c r="AU9" s="74" t="str">
        <f t="shared" si="20"/>
        <v>AMAN</v>
      </c>
      <c r="AV9" s="74" t="str">
        <f t="shared" si="21"/>
        <v>3</v>
      </c>
    </row>
    <row r="10" spans="1:49" ht="15.75" x14ac:dyDescent="0.25">
      <c r="A10" s="109"/>
      <c r="B10" s="109"/>
      <c r="C10" s="109" t="s">
        <v>616</v>
      </c>
      <c r="D10" s="55">
        <v>12000</v>
      </c>
      <c r="E10" s="55">
        <v>13000</v>
      </c>
      <c r="F10" s="55">
        <v>11560</v>
      </c>
      <c r="G10" s="56">
        <v>12000</v>
      </c>
      <c r="H10" s="55">
        <v>9000</v>
      </c>
      <c r="I10" s="55">
        <v>9000</v>
      </c>
      <c r="J10" s="55">
        <v>9000</v>
      </c>
      <c r="K10" s="55">
        <v>9000</v>
      </c>
      <c r="L10" s="55">
        <v>13550</v>
      </c>
      <c r="M10" s="55">
        <v>14000</v>
      </c>
      <c r="N10" s="55">
        <v>14000</v>
      </c>
      <c r="O10" s="55">
        <v>14000</v>
      </c>
      <c r="P10" s="55">
        <v>15000</v>
      </c>
      <c r="Q10" s="55">
        <v>16230</v>
      </c>
      <c r="R10" s="55">
        <v>16000</v>
      </c>
      <c r="S10" s="56">
        <v>15950</v>
      </c>
      <c r="T10" s="65">
        <v>39100</v>
      </c>
      <c r="U10" s="65">
        <v>40000</v>
      </c>
      <c r="V10" s="65">
        <v>40000</v>
      </c>
      <c r="W10" s="65">
        <v>39850</v>
      </c>
      <c r="X10" s="65">
        <v>27700</v>
      </c>
      <c r="Y10" s="65">
        <v>28000</v>
      </c>
      <c r="Z10" s="65">
        <v>27375</v>
      </c>
      <c r="AA10" s="56">
        <v>30300</v>
      </c>
      <c r="AB10" s="69">
        <f t="shared" si="1"/>
        <v>12186.666666666666</v>
      </c>
      <c r="AC10" s="70">
        <f t="shared" si="2"/>
        <v>-1.5317286652078725</v>
      </c>
      <c r="AD10" s="71">
        <f t="shared" si="3"/>
        <v>3</v>
      </c>
      <c r="AE10" s="69">
        <f t="shared" si="4"/>
        <v>9000</v>
      </c>
      <c r="AF10" s="70">
        <f t="shared" si="5"/>
        <v>0</v>
      </c>
      <c r="AG10" s="71">
        <f t="shared" si="6"/>
        <v>3</v>
      </c>
      <c r="AH10" s="69">
        <f t="shared" si="7"/>
        <v>13850</v>
      </c>
      <c r="AI10" s="70">
        <f t="shared" si="8"/>
        <v>1.0830324909747291</v>
      </c>
      <c r="AJ10" s="71">
        <f t="shared" si="9"/>
        <v>3</v>
      </c>
      <c r="AK10" s="69">
        <f t="shared" si="10"/>
        <v>15743.333333333334</v>
      </c>
      <c r="AL10" s="70">
        <f t="shared" si="11"/>
        <v>1.3127249629472755</v>
      </c>
      <c r="AM10" s="71">
        <f t="shared" si="12"/>
        <v>3</v>
      </c>
      <c r="AN10" s="69">
        <f t="shared" si="13"/>
        <v>39700</v>
      </c>
      <c r="AO10" s="70">
        <f t="shared" si="14"/>
        <v>0.37783375314861462</v>
      </c>
      <c r="AP10" s="71">
        <f t="shared" si="15"/>
        <v>3</v>
      </c>
      <c r="AQ10" s="69">
        <f t="shared" si="16"/>
        <v>27691.666666666668</v>
      </c>
      <c r="AR10" s="70">
        <f t="shared" si="17"/>
        <v>9.4191995185073676</v>
      </c>
      <c r="AS10" s="71">
        <f t="shared" si="18"/>
        <v>2</v>
      </c>
      <c r="AT10" s="74">
        <f t="shared" si="19"/>
        <v>17</v>
      </c>
      <c r="AU10" s="74" t="str">
        <f t="shared" si="20"/>
        <v>AMAN</v>
      </c>
      <c r="AV10" s="74" t="str">
        <f t="shared" si="21"/>
        <v>3</v>
      </c>
    </row>
    <row r="11" spans="1:49" ht="15.75" x14ac:dyDescent="0.25">
      <c r="A11" s="109"/>
      <c r="B11" s="109"/>
      <c r="C11" s="109" t="s">
        <v>611</v>
      </c>
      <c r="D11" s="55">
        <v>12000</v>
      </c>
      <c r="E11" s="55">
        <v>13000</v>
      </c>
      <c r="F11" s="55">
        <v>11560</v>
      </c>
      <c r="G11" s="56">
        <v>12000</v>
      </c>
      <c r="H11" s="55">
        <v>9000</v>
      </c>
      <c r="I11" s="55">
        <v>9000</v>
      </c>
      <c r="J11" s="55">
        <v>9000</v>
      </c>
      <c r="K11" s="55">
        <v>9000</v>
      </c>
      <c r="L11" s="55">
        <v>13550</v>
      </c>
      <c r="M11" s="55">
        <v>14000</v>
      </c>
      <c r="N11" s="55">
        <v>14000</v>
      </c>
      <c r="O11" s="55">
        <v>14000</v>
      </c>
      <c r="P11" s="55">
        <v>15000</v>
      </c>
      <c r="Q11" s="55">
        <v>16230</v>
      </c>
      <c r="R11" s="55">
        <v>16000</v>
      </c>
      <c r="S11" s="56">
        <v>15950</v>
      </c>
      <c r="T11" s="65">
        <v>39100</v>
      </c>
      <c r="U11" s="65">
        <v>40000</v>
      </c>
      <c r="V11" s="65">
        <v>40000</v>
      </c>
      <c r="W11" s="65">
        <v>39850</v>
      </c>
      <c r="X11" s="65">
        <v>27700</v>
      </c>
      <c r="Y11" s="65">
        <v>28000</v>
      </c>
      <c r="Z11" s="65">
        <v>27375</v>
      </c>
      <c r="AA11" s="56">
        <v>30300</v>
      </c>
      <c r="AB11" s="69">
        <f t="shared" si="1"/>
        <v>12186.666666666666</v>
      </c>
      <c r="AC11" s="70">
        <f t="shared" si="2"/>
        <v>-1.5317286652078725</v>
      </c>
      <c r="AD11" s="71">
        <f t="shared" si="3"/>
        <v>3</v>
      </c>
      <c r="AE11" s="69">
        <f t="shared" si="4"/>
        <v>9000</v>
      </c>
      <c r="AF11" s="70">
        <f t="shared" si="5"/>
        <v>0</v>
      </c>
      <c r="AG11" s="71">
        <f t="shared" si="6"/>
        <v>3</v>
      </c>
      <c r="AH11" s="69">
        <f t="shared" si="7"/>
        <v>13850</v>
      </c>
      <c r="AI11" s="70">
        <f t="shared" si="8"/>
        <v>1.0830324909747291</v>
      </c>
      <c r="AJ11" s="71">
        <f t="shared" si="9"/>
        <v>3</v>
      </c>
      <c r="AK11" s="69">
        <f t="shared" si="10"/>
        <v>15743.333333333334</v>
      </c>
      <c r="AL11" s="70">
        <f t="shared" si="11"/>
        <v>1.3127249629472755</v>
      </c>
      <c r="AM11" s="71">
        <f t="shared" si="12"/>
        <v>3</v>
      </c>
      <c r="AN11" s="69">
        <f t="shared" si="13"/>
        <v>39700</v>
      </c>
      <c r="AO11" s="70">
        <f t="shared" si="14"/>
        <v>0.37783375314861462</v>
      </c>
      <c r="AP11" s="71">
        <f t="shared" si="15"/>
        <v>3</v>
      </c>
      <c r="AQ11" s="69">
        <f t="shared" si="16"/>
        <v>27691.666666666668</v>
      </c>
      <c r="AR11" s="70">
        <f t="shared" si="17"/>
        <v>9.4191995185073676</v>
      </c>
      <c r="AS11" s="71">
        <f t="shared" si="18"/>
        <v>2</v>
      </c>
      <c r="AT11" s="74">
        <f t="shared" si="19"/>
        <v>17</v>
      </c>
      <c r="AU11" s="74" t="str">
        <f t="shared" si="20"/>
        <v>AMAN</v>
      </c>
      <c r="AV11" s="74" t="str">
        <f t="shared" si="21"/>
        <v>3</v>
      </c>
    </row>
    <row r="12" spans="1:49" ht="15.75" x14ac:dyDescent="0.25">
      <c r="A12" s="109"/>
      <c r="B12" s="109"/>
      <c r="C12" s="109" t="s">
        <v>617</v>
      </c>
      <c r="D12" s="55">
        <v>12000</v>
      </c>
      <c r="E12" s="55">
        <v>13000</v>
      </c>
      <c r="F12" s="55">
        <v>11560</v>
      </c>
      <c r="G12" s="56">
        <v>12000</v>
      </c>
      <c r="H12" s="55">
        <v>9000</v>
      </c>
      <c r="I12" s="55">
        <v>9000</v>
      </c>
      <c r="J12" s="55">
        <v>9000</v>
      </c>
      <c r="K12" s="55">
        <v>9000</v>
      </c>
      <c r="L12" s="55">
        <v>13550</v>
      </c>
      <c r="M12" s="55">
        <v>14000</v>
      </c>
      <c r="N12" s="55">
        <v>14000</v>
      </c>
      <c r="O12" s="55">
        <v>14000</v>
      </c>
      <c r="P12" s="55">
        <v>15000</v>
      </c>
      <c r="Q12" s="55">
        <v>16230</v>
      </c>
      <c r="R12" s="55">
        <v>16000</v>
      </c>
      <c r="S12" s="56">
        <v>15950</v>
      </c>
      <c r="T12" s="65">
        <v>39100</v>
      </c>
      <c r="U12" s="65">
        <v>40000</v>
      </c>
      <c r="V12" s="65">
        <v>40000</v>
      </c>
      <c r="W12" s="65">
        <v>39850</v>
      </c>
      <c r="X12" s="65">
        <v>27700</v>
      </c>
      <c r="Y12" s="65">
        <v>28000</v>
      </c>
      <c r="Z12" s="65">
        <v>27375</v>
      </c>
      <c r="AA12" s="56">
        <v>30300</v>
      </c>
      <c r="AB12" s="69">
        <f t="shared" si="1"/>
        <v>12186.666666666666</v>
      </c>
      <c r="AC12" s="70">
        <f t="shared" si="2"/>
        <v>-1.5317286652078725</v>
      </c>
      <c r="AD12" s="71">
        <f t="shared" si="3"/>
        <v>3</v>
      </c>
      <c r="AE12" s="69">
        <f t="shared" si="4"/>
        <v>9000</v>
      </c>
      <c r="AF12" s="70">
        <f t="shared" si="5"/>
        <v>0</v>
      </c>
      <c r="AG12" s="71">
        <f t="shared" si="6"/>
        <v>3</v>
      </c>
      <c r="AH12" s="69">
        <f t="shared" si="7"/>
        <v>13850</v>
      </c>
      <c r="AI12" s="70">
        <f t="shared" si="8"/>
        <v>1.0830324909747291</v>
      </c>
      <c r="AJ12" s="71">
        <f t="shared" si="9"/>
        <v>3</v>
      </c>
      <c r="AK12" s="69">
        <f t="shared" si="10"/>
        <v>15743.333333333334</v>
      </c>
      <c r="AL12" s="70">
        <f t="shared" si="11"/>
        <v>1.3127249629472755</v>
      </c>
      <c r="AM12" s="71">
        <f t="shared" si="12"/>
        <v>3</v>
      </c>
      <c r="AN12" s="69">
        <f t="shared" si="13"/>
        <v>39700</v>
      </c>
      <c r="AO12" s="70">
        <f t="shared" si="14"/>
        <v>0.37783375314861462</v>
      </c>
      <c r="AP12" s="71">
        <f t="shared" si="15"/>
        <v>3</v>
      </c>
      <c r="AQ12" s="69">
        <f t="shared" si="16"/>
        <v>27691.666666666668</v>
      </c>
      <c r="AR12" s="70">
        <f t="shared" si="17"/>
        <v>9.4191995185073676</v>
      </c>
      <c r="AS12" s="71">
        <f t="shared" si="18"/>
        <v>2</v>
      </c>
      <c r="AT12" s="74">
        <f t="shared" si="19"/>
        <v>17</v>
      </c>
      <c r="AU12" s="74" t="str">
        <f t="shared" si="20"/>
        <v>AMAN</v>
      </c>
      <c r="AV12" s="74" t="str">
        <f t="shared" si="21"/>
        <v>3</v>
      </c>
    </row>
    <row r="13" spans="1:49" ht="15.75" x14ac:dyDescent="0.25">
      <c r="A13" s="109"/>
      <c r="B13" s="109"/>
      <c r="C13" s="109" t="s">
        <v>618</v>
      </c>
      <c r="D13" s="55">
        <v>12000</v>
      </c>
      <c r="E13" s="55">
        <v>13000</v>
      </c>
      <c r="F13" s="55">
        <v>11560</v>
      </c>
      <c r="G13" s="56">
        <v>12000</v>
      </c>
      <c r="H13" s="55">
        <v>9000</v>
      </c>
      <c r="I13" s="55">
        <v>9000</v>
      </c>
      <c r="J13" s="55">
        <v>9000</v>
      </c>
      <c r="K13" s="55">
        <v>9000</v>
      </c>
      <c r="L13" s="55">
        <v>13550</v>
      </c>
      <c r="M13" s="55">
        <v>14000</v>
      </c>
      <c r="N13" s="55">
        <v>14000</v>
      </c>
      <c r="O13" s="55">
        <v>14000</v>
      </c>
      <c r="P13" s="55">
        <v>15000</v>
      </c>
      <c r="Q13" s="55">
        <v>16230</v>
      </c>
      <c r="R13" s="55">
        <v>16000</v>
      </c>
      <c r="S13" s="56">
        <v>15950</v>
      </c>
      <c r="T13" s="65">
        <v>39100</v>
      </c>
      <c r="U13" s="65">
        <v>40000</v>
      </c>
      <c r="V13" s="65">
        <v>40000</v>
      </c>
      <c r="W13" s="65">
        <v>39850</v>
      </c>
      <c r="X13" s="65">
        <v>27700</v>
      </c>
      <c r="Y13" s="65">
        <v>28000</v>
      </c>
      <c r="Z13" s="65">
        <v>27375</v>
      </c>
      <c r="AA13" s="56">
        <v>30300</v>
      </c>
      <c r="AB13" s="69">
        <f t="shared" si="1"/>
        <v>12186.666666666666</v>
      </c>
      <c r="AC13" s="70">
        <f t="shared" si="2"/>
        <v>-1.5317286652078725</v>
      </c>
      <c r="AD13" s="71">
        <f t="shared" si="3"/>
        <v>3</v>
      </c>
      <c r="AE13" s="69">
        <f t="shared" si="4"/>
        <v>9000</v>
      </c>
      <c r="AF13" s="70">
        <f t="shared" si="5"/>
        <v>0</v>
      </c>
      <c r="AG13" s="71">
        <f t="shared" si="6"/>
        <v>3</v>
      </c>
      <c r="AH13" s="69">
        <f t="shared" si="7"/>
        <v>13850</v>
      </c>
      <c r="AI13" s="70">
        <f t="shared" si="8"/>
        <v>1.0830324909747291</v>
      </c>
      <c r="AJ13" s="71">
        <f t="shared" si="9"/>
        <v>3</v>
      </c>
      <c r="AK13" s="69">
        <f t="shared" si="10"/>
        <v>15743.333333333334</v>
      </c>
      <c r="AL13" s="70">
        <f t="shared" si="11"/>
        <v>1.3127249629472755</v>
      </c>
      <c r="AM13" s="71">
        <f t="shared" si="12"/>
        <v>3</v>
      </c>
      <c r="AN13" s="69">
        <f t="shared" si="13"/>
        <v>39700</v>
      </c>
      <c r="AO13" s="70">
        <f t="shared" si="14"/>
        <v>0.37783375314861462</v>
      </c>
      <c r="AP13" s="71">
        <f t="shared" si="15"/>
        <v>3</v>
      </c>
      <c r="AQ13" s="69">
        <f t="shared" si="16"/>
        <v>27691.666666666668</v>
      </c>
      <c r="AR13" s="70">
        <f t="shared" si="17"/>
        <v>9.4191995185073676</v>
      </c>
      <c r="AS13" s="71">
        <f t="shared" si="18"/>
        <v>2</v>
      </c>
      <c r="AT13" s="74">
        <f t="shared" si="19"/>
        <v>17</v>
      </c>
      <c r="AU13" s="74" t="str">
        <f t="shared" si="20"/>
        <v>AMAN</v>
      </c>
      <c r="AV13" s="74" t="str">
        <f t="shared" si="21"/>
        <v>3</v>
      </c>
    </row>
    <row r="14" spans="1:49" x14ac:dyDescent="0.25">
      <c r="A14" s="139" t="str">
        <f>B3&amp;" "&amp;B6</f>
        <v>KOTA CILEGON</v>
      </c>
      <c r="B14" s="139"/>
      <c r="C14" s="139"/>
      <c r="D14" s="99">
        <f t="shared" ref="D14:AA14" si="22">AVERAGE(D6:D13)</f>
        <v>12000</v>
      </c>
      <c r="E14" s="99">
        <f t="shared" si="22"/>
        <v>13000</v>
      </c>
      <c r="F14" s="99">
        <f t="shared" si="22"/>
        <v>11560</v>
      </c>
      <c r="G14" s="99">
        <f t="shared" si="22"/>
        <v>12000</v>
      </c>
      <c r="H14" s="99">
        <f t="shared" si="22"/>
        <v>9000</v>
      </c>
      <c r="I14" s="99">
        <f t="shared" si="22"/>
        <v>9000</v>
      </c>
      <c r="J14" s="99">
        <f t="shared" si="22"/>
        <v>9000</v>
      </c>
      <c r="K14" s="99">
        <f t="shared" si="22"/>
        <v>9000</v>
      </c>
      <c r="L14" s="99">
        <f t="shared" si="22"/>
        <v>13550</v>
      </c>
      <c r="M14" s="99">
        <f t="shared" si="22"/>
        <v>14000</v>
      </c>
      <c r="N14" s="99">
        <f t="shared" si="22"/>
        <v>14000</v>
      </c>
      <c r="O14" s="99">
        <f t="shared" si="22"/>
        <v>14000</v>
      </c>
      <c r="P14" s="99">
        <f t="shared" si="22"/>
        <v>15000</v>
      </c>
      <c r="Q14" s="99">
        <f t="shared" si="22"/>
        <v>16230</v>
      </c>
      <c r="R14" s="99">
        <f t="shared" si="22"/>
        <v>16000</v>
      </c>
      <c r="S14" s="99">
        <f t="shared" si="22"/>
        <v>15950</v>
      </c>
      <c r="T14" s="99">
        <f t="shared" si="22"/>
        <v>39100</v>
      </c>
      <c r="U14" s="99">
        <f t="shared" si="22"/>
        <v>40000</v>
      </c>
      <c r="V14" s="99">
        <f t="shared" si="22"/>
        <v>40000</v>
      </c>
      <c r="W14" s="99">
        <f t="shared" si="22"/>
        <v>39850</v>
      </c>
      <c r="X14" s="99">
        <f t="shared" si="22"/>
        <v>27700</v>
      </c>
      <c r="Y14" s="99">
        <f t="shared" si="22"/>
        <v>28000</v>
      </c>
      <c r="Z14" s="99">
        <f t="shared" si="22"/>
        <v>27375</v>
      </c>
      <c r="AA14" s="99">
        <f t="shared" si="22"/>
        <v>30300</v>
      </c>
      <c r="AB14" s="96">
        <f t="shared" si="1"/>
        <v>12186.666666666666</v>
      </c>
      <c r="AC14" s="97">
        <f t="shared" si="2"/>
        <v>-1.5317286652078725</v>
      </c>
      <c r="AD14" s="98">
        <f t="shared" si="3"/>
        <v>3</v>
      </c>
      <c r="AE14" s="96">
        <f t="shared" si="4"/>
        <v>9000</v>
      </c>
      <c r="AF14" s="97">
        <f t="shared" si="5"/>
        <v>0</v>
      </c>
      <c r="AG14" s="98">
        <f t="shared" si="6"/>
        <v>3</v>
      </c>
      <c r="AH14" s="96">
        <f t="shared" si="7"/>
        <v>13850</v>
      </c>
      <c r="AI14" s="97">
        <f t="shared" si="8"/>
        <v>1.0830324909747291</v>
      </c>
      <c r="AJ14" s="98">
        <f t="shared" si="9"/>
        <v>3</v>
      </c>
      <c r="AK14" s="96">
        <f t="shared" si="10"/>
        <v>15743.333333333334</v>
      </c>
      <c r="AL14" s="97">
        <f t="shared" si="11"/>
        <v>1.3127249629472755</v>
      </c>
      <c r="AM14" s="98">
        <f t="shared" si="12"/>
        <v>3</v>
      </c>
      <c r="AN14" s="96">
        <f t="shared" si="13"/>
        <v>39700</v>
      </c>
      <c r="AO14" s="97">
        <f t="shared" si="14"/>
        <v>0.37783375314861462</v>
      </c>
      <c r="AP14" s="98">
        <f t="shared" si="15"/>
        <v>3</v>
      </c>
      <c r="AQ14" s="96">
        <f t="shared" si="16"/>
        <v>27691.666666666668</v>
      </c>
      <c r="AR14" s="97">
        <f t="shared" si="17"/>
        <v>9.4191995185073676</v>
      </c>
      <c r="AS14" s="98">
        <f t="shared" si="18"/>
        <v>2</v>
      </c>
      <c r="AT14" s="72">
        <f t="shared" si="19"/>
        <v>17</v>
      </c>
      <c r="AU14" s="72" t="str">
        <f t="shared" si="20"/>
        <v>AMAN</v>
      </c>
      <c r="AV14" s="72" t="str">
        <f t="shared" si="21"/>
        <v>3</v>
      </c>
    </row>
  </sheetData>
  <mergeCells count="42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</mergeCells>
  <conditionalFormatting sqref="AU6:AU14">
    <cfRule type="cellIs" dxfId="14" priority="1" operator="equal">
      <formula>"RENTAN"</formula>
    </cfRule>
    <cfRule type="cellIs" dxfId="13" priority="2" operator="equal">
      <formula>"WASPADA"</formula>
    </cfRule>
    <cfRule type="cellIs" dxfId="12" priority="3" operator="equal">
      <formula>"AMAN"</formula>
    </cfRule>
    <cfRule type="cellIs" dxfId="11" priority="4" operator="equal">
      <formula>"RENTAN"</formula>
    </cfRule>
    <cfRule type="cellIs" dxfId="10" priority="5" operator="equal">
      <formula>"WASPADA"</formula>
    </cfRule>
    <cfRule type="cellIs" dxfId="9" priority="6" operator="equal">
      <formula>"AMAN"</formula>
    </cfRule>
  </conditionalFormatting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G25" sqref="G25"/>
    </sheetView>
  </sheetViews>
  <sheetFormatPr defaultColWidth="9" defaultRowHeight="15" x14ac:dyDescent="0.25"/>
  <cols>
    <col min="1" max="1" width="5.28515625" customWidth="1"/>
    <col min="2" max="2" width="12" customWidth="1"/>
    <col min="3" max="3" width="22.28515625" customWidth="1"/>
    <col min="4" max="9" width="14.28515625" customWidth="1"/>
    <col min="10" max="11" width="12.5703125" customWidth="1"/>
    <col min="12" max="12" width="14.42578125" customWidth="1"/>
  </cols>
  <sheetData>
    <row r="1" spans="1:12" ht="18.75" x14ac:dyDescent="0.3">
      <c r="A1" s="154" t="s">
        <v>584</v>
      </c>
      <c r="B1" s="154"/>
      <c r="C1" s="154"/>
      <c r="D1" s="38"/>
      <c r="E1" s="38"/>
      <c r="F1" s="38"/>
      <c r="G1" s="38"/>
      <c r="H1" s="38"/>
      <c r="I1" s="38"/>
    </row>
    <row r="2" spans="1:12" ht="18.75" x14ac:dyDescent="0.3">
      <c r="A2" s="37"/>
      <c r="B2" s="37"/>
      <c r="C2" s="37"/>
      <c r="D2" s="38"/>
      <c r="E2" s="38"/>
      <c r="F2" s="38"/>
      <c r="G2" s="38"/>
      <c r="H2" s="38"/>
      <c r="I2" s="38"/>
    </row>
    <row r="3" spans="1:12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6"/>
    </row>
    <row r="4" spans="1:12" ht="15" customHeight="1" x14ac:dyDescent="0.25">
      <c r="A4" s="124" t="s">
        <v>3</v>
      </c>
      <c r="B4" s="124" t="s">
        <v>609</v>
      </c>
      <c r="C4" s="124" t="s">
        <v>610</v>
      </c>
      <c r="D4" s="155" t="s">
        <v>585</v>
      </c>
      <c r="E4" s="155" t="s">
        <v>586</v>
      </c>
      <c r="F4" s="155" t="s">
        <v>587</v>
      </c>
      <c r="G4" s="155" t="s">
        <v>588</v>
      </c>
      <c r="H4" s="155" t="s">
        <v>589</v>
      </c>
      <c r="I4" s="124" t="s">
        <v>590</v>
      </c>
      <c r="J4" s="124" t="s">
        <v>591</v>
      </c>
      <c r="K4" s="124"/>
      <c r="L4" s="124"/>
    </row>
    <row r="5" spans="1:12" s="35" customFormat="1" ht="15.75" x14ac:dyDescent="0.25">
      <c r="A5" s="124"/>
      <c r="B5" s="124"/>
      <c r="C5" s="124"/>
      <c r="D5" s="155"/>
      <c r="E5" s="155"/>
      <c r="F5" s="155"/>
      <c r="G5" s="155"/>
      <c r="H5" s="155"/>
      <c r="I5" s="124"/>
      <c r="J5" s="40" t="s">
        <v>581</v>
      </c>
      <c r="K5" s="40" t="s">
        <v>579</v>
      </c>
      <c r="L5" s="40" t="s">
        <v>582</v>
      </c>
    </row>
    <row r="6" spans="1:12" x14ac:dyDescent="0.25">
      <c r="A6" s="110">
        <v>1</v>
      </c>
      <c r="B6" s="110" t="s">
        <v>611</v>
      </c>
      <c r="C6" s="110" t="s">
        <v>612</v>
      </c>
      <c r="D6" s="41">
        <v>32</v>
      </c>
      <c r="E6" s="41">
        <v>117</v>
      </c>
      <c r="F6" s="41">
        <v>3608</v>
      </c>
      <c r="G6" s="41">
        <v>204</v>
      </c>
      <c r="H6" s="42">
        <f t="shared" ref="H6:H14" si="0">D6+E6</f>
        <v>149</v>
      </c>
      <c r="I6" s="42">
        <f t="shared" ref="I6:I14" si="1">SUM(D6:G6)</f>
        <v>3961</v>
      </c>
      <c r="J6" s="44">
        <f t="shared" ref="J6:J14" si="2">IF(ISERROR((H6/I6)*100),0,((H6/I6)*100))</f>
        <v>3.7616763443574857</v>
      </c>
      <c r="K6" s="45">
        <f>IF(J6="","",IF(J6&lt;10,3,IF(J6&gt;15,1,2)))</f>
        <v>3</v>
      </c>
      <c r="L6" s="45" t="str">
        <f>IF(K6="","",IF(K6=3,"AMAN",IF(K6=1,"RENTAN","WASPADA")))</f>
        <v>AMAN</v>
      </c>
    </row>
    <row r="7" spans="1:12" x14ac:dyDescent="0.25">
      <c r="A7" s="110"/>
      <c r="B7" s="110"/>
      <c r="C7" s="110" t="s">
        <v>613</v>
      </c>
      <c r="D7" s="41">
        <v>37</v>
      </c>
      <c r="E7" s="41">
        <v>182</v>
      </c>
      <c r="F7" s="41">
        <v>4649</v>
      </c>
      <c r="G7" s="41">
        <v>298</v>
      </c>
      <c r="H7" s="42">
        <f t="shared" si="0"/>
        <v>219</v>
      </c>
      <c r="I7" s="42">
        <f t="shared" si="1"/>
        <v>5166</v>
      </c>
      <c r="J7" s="44">
        <f t="shared" si="2"/>
        <v>4.2392566782810688</v>
      </c>
      <c r="K7" s="45">
        <f t="shared" ref="K7:K13" si="3">IF(J7="","",IF(J7&lt;10,3,IF(J7&gt;15,1,2)))</f>
        <v>3</v>
      </c>
      <c r="L7" s="45" t="str">
        <f t="shared" ref="L7:L13" si="4">IF(K7="","",IF(K7=3,"AMAN",IF(K7=1,"RENTAN","WASPADA")))</f>
        <v>AMAN</v>
      </c>
    </row>
    <row r="8" spans="1:12" x14ac:dyDescent="0.25">
      <c r="A8" s="110"/>
      <c r="B8" s="110"/>
      <c r="C8" s="110" t="s">
        <v>614</v>
      </c>
      <c r="D8" s="41">
        <v>32</v>
      </c>
      <c r="E8" s="41">
        <v>166</v>
      </c>
      <c r="F8" s="41">
        <v>3232</v>
      </c>
      <c r="G8" s="41">
        <v>193</v>
      </c>
      <c r="H8" s="42">
        <f t="shared" si="0"/>
        <v>198</v>
      </c>
      <c r="I8" s="42">
        <f t="shared" si="1"/>
        <v>3623</v>
      </c>
      <c r="J8" s="44">
        <f t="shared" si="2"/>
        <v>5.465084184377587</v>
      </c>
      <c r="K8" s="45">
        <f t="shared" si="3"/>
        <v>3</v>
      </c>
      <c r="L8" s="45" t="str">
        <f t="shared" si="4"/>
        <v>AMAN</v>
      </c>
    </row>
    <row r="9" spans="1:12" x14ac:dyDescent="0.25">
      <c r="A9" s="110"/>
      <c r="B9" s="110"/>
      <c r="C9" s="110" t="s">
        <v>615</v>
      </c>
      <c r="D9" s="41">
        <v>10</v>
      </c>
      <c r="E9" s="41">
        <v>62</v>
      </c>
      <c r="F9" s="41">
        <v>2534</v>
      </c>
      <c r="G9" s="41">
        <v>137</v>
      </c>
      <c r="H9" s="42">
        <f t="shared" si="0"/>
        <v>72</v>
      </c>
      <c r="I9" s="42">
        <f t="shared" si="1"/>
        <v>2743</v>
      </c>
      <c r="J9" s="44">
        <f t="shared" si="2"/>
        <v>2.6248632883703973</v>
      </c>
      <c r="K9" s="45">
        <f t="shared" si="3"/>
        <v>3</v>
      </c>
      <c r="L9" s="45" t="str">
        <f t="shared" si="4"/>
        <v>AMAN</v>
      </c>
    </row>
    <row r="10" spans="1:12" x14ac:dyDescent="0.25">
      <c r="A10" s="110"/>
      <c r="B10" s="110"/>
      <c r="C10" s="110" t="s">
        <v>616</v>
      </c>
      <c r="D10" s="41">
        <v>33</v>
      </c>
      <c r="E10" s="41">
        <v>198</v>
      </c>
      <c r="F10" s="41">
        <v>2412</v>
      </c>
      <c r="G10" s="41">
        <v>33</v>
      </c>
      <c r="H10" s="42">
        <f t="shared" si="0"/>
        <v>231</v>
      </c>
      <c r="I10" s="42">
        <f t="shared" si="1"/>
        <v>2676</v>
      </c>
      <c r="J10" s="44">
        <f t="shared" si="2"/>
        <v>8.6322869955156953</v>
      </c>
      <c r="K10" s="45">
        <f t="shared" si="3"/>
        <v>3</v>
      </c>
      <c r="L10" s="45" t="str">
        <f t="shared" si="4"/>
        <v>AMAN</v>
      </c>
    </row>
    <row r="11" spans="1:12" x14ac:dyDescent="0.25">
      <c r="A11" s="110"/>
      <c r="B11" s="110"/>
      <c r="C11" s="110" t="s">
        <v>611</v>
      </c>
      <c r="D11" s="41">
        <v>25</v>
      </c>
      <c r="E11" s="41">
        <v>109</v>
      </c>
      <c r="F11" s="41">
        <v>2476</v>
      </c>
      <c r="G11" s="41">
        <v>117</v>
      </c>
      <c r="H11" s="42">
        <f t="shared" si="0"/>
        <v>134</v>
      </c>
      <c r="I11" s="42">
        <f t="shared" si="1"/>
        <v>2727</v>
      </c>
      <c r="J11" s="44">
        <f t="shared" si="2"/>
        <v>4.913824715804914</v>
      </c>
      <c r="K11" s="45">
        <f t="shared" si="3"/>
        <v>3</v>
      </c>
      <c r="L11" s="45" t="str">
        <f t="shared" si="4"/>
        <v>AMAN</v>
      </c>
    </row>
    <row r="12" spans="1:12" x14ac:dyDescent="0.25">
      <c r="A12" s="110"/>
      <c r="B12" s="110"/>
      <c r="C12" s="110" t="s">
        <v>617</v>
      </c>
      <c r="D12" s="41">
        <v>23</v>
      </c>
      <c r="E12" s="41">
        <v>117</v>
      </c>
      <c r="F12" s="41">
        <v>4432</v>
      </c>
      <c r="G12" s="41">
        <v>125</v>
      </c>
      <c r="H12" s="42">
        <f t="shared" si="0"/>
        <v>140</v>
      </c>
      <c r="I12" s="42">
        <f t="shared" si="1"/>
        <v>4697</v>
      </c>
      <c r="J12" s="44">
        <f t="shared" si="2"/>
        <v>2.9806259314456036</v>
      </c>
      <c r="K12" s="45">
        <f t="shared" si="3"/>
        <v>3</v>
      </c>
      <c r="L12" s="45" t="str">
        <f t="shared" si="4"/>
        <v>AMAN</v>
      </c>
    </row>
    <row r="13" spans="1:12" x14ac:dyDescent="0.25">
      <c r="A13" s="110"/>
      <c r="B13" s="110"/>
      <c r="C13" s="110" t="s">
        <v>618</v>
      </c>
      <c r="D13" s="41">
        <v>38</v>
      </c>
      <c r="E13" s="41">
        <v>149</v>
      </c>
      <c r="F13" s="41">
        <v>3533</v>
      </c>
      <c r="G13" s="41">
        <v>71</v>
      </c>
      <c r="H13" s="42">
        <f t="shared" si="0"/>
        <v>187</v>
      </c>
      <c r="I13" s="42">
        <f t="shared" si="1"/>
        <v>3791</v>
      </c>
      <c r="J13" s="44">
        <f t="shared" si="2"/>
        <v>4.9327354260089686</v>
      </c>
      <c r="K13" s="45">
        <f t="shared" si="3"/>
        <v>3</v>
      </c>
      <c r="L13" s="45" t="str">
        <f t="shared" si="4"/>
        <v>AMAN</v>
      </c>
    </row>
    <row r="14" spans="1:12" x14ac:dyDescent="0.25">
      <c r="A14" s="153" t="str">
        <f>B4&amp;" "&amp;B6</f>
        <v>KOTA CILEGON</v>
      </c>
      <c r="B14" s="153"/>
      <c r="C14" s="153"/>
      <c r="D14" s="102">
        <f>SUM(D6:D13)</f>
        <v>230</v>
      </c>
      <c r="E14" s="102">
        <f>SUM(E6:E13)</f>
        <v>1100</v>
      </c>
      <c r="F14" s="102">
        <f>SUM(F6:F13)</f>
        <v>26876</v>
      </c>
      <c r="G14" s="102">
        <f>SUM(G6:G13)</f>
        <v>1178</v>
      </c>
      <c r="H14" s="43">
        <f t="shared" si="0"/>
        <v>1330</v>
      </c>
      <c r="I14" s="43">
        <f t="shared" si="1"/>
        <v>29384</v>
      </c>
      <c r="J14" s="100">
        <f t="shared" si="2"/>
        <v>4.5262728015246392</v>
      </c>
      <c r="K14" s="101">
        <f>IF(J14="","",IF(J14&lt;10,3,IF(J14&gt;15,1,2)))</f>
        <v>3</v>
      </c>
      <c r="L14" s="101" t="str">
        <f>IF(K14="","",IF(K14=3,"AMAN",IF(K14=1,"RENTAN","WASPADA")))</f>
        <v>AMAN</v>
      </c>
    </row>
  </sheetData>
  <autoFilter ref="A5:L13" xr:uid="{00000000-0009-0000-0000-000002000000}"/>
  <mergeCells count="12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conditionalFormatting sqref="L6:L14">
    <cfRule type="cellIs" dxfId="8" priority="4" operator="equal">
      <formula>"Aman"</formula>
    </cfRule>
    <cfRule type="cellIs" dxfId="7" priority="5" operator="equal">
      <formula>"Waspada"</formula>
    </cfRule>
    <cfRule type="cellIs" dxfId="6" priority="6" operator="equal">
      <formula>"Rentan"</formula>
    </cfRule>
  </conditionalFormatting>
  <pageMargins left="0.69930555555555596" right="0.69930555555555596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4"/>
  <sheetViews>
    <sheetView showGridLines="0" tabSelected="1" zoomScale="85" zoomScaleNormal="85" workbookViewId="0">
      <pane xSplit="3" ySplit="5" topLeftCell="D6" activePane="bottomRight" state="frozen"/>
      <selection pane="topRight"/>
      <selection pane="bottomLeft"/>
      <selection pane="bottomRight" activeCell="E25" sqref="E25"/>
    </sheetView>
  </sheetViews>
  <sheetFormatPr defaultColWidth="9" defaultRowHeight="15" x14ac:dyDescent="0.25"/>
  <cols>
    <col min="1" max="1" width="10" style="26" bestFit="1" customWidth="1"/>
    <col min="2" max="2" width="13.42578125" style="26" customWidth="1"/>
    <col min="3" max="3" width="23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56" t="s">
        <v>592</v>
      </c>
      <c r="B1" s="156"/>
      <c r="C1" s="156"/>
      <c r="D1" s="156"/>
      <c r="E1" s="156"/>
      <c r="F1" s="156"/>
    </row>
    <row r="2" spans="1:9" ht="18.75" x14ac:dyDescent="0.3">
      <c r="A2" s="159">
        <f>SUM(IK!E1)</f>
        <v>45413</v>
      </c>
      <c r="B2" s="32"/>
      <c r="C2" s="32"/>
      <c r="D2" s="32"/>
      <c r="E2" s="32"/>
      <c r="F2" s="32"/>
    </row>
    <row r="3" spans="1:9" ht="18.75" x14ac:dyDescent="0.3">
      <c r="A3" s="32"/>
      <c r="B3" s="32"/>
      <c r="C3" s="32"/>
      <c r="D3" s="32"/>
      <c r="E3" s="32"/>
      <c r="F3" s="32"/>
    </row>
    <row r="4" spans="1:9" ht="20.100000000000001" customHeight="1" x14ac:dyDescent="0.25"/>
    <row r="5" spans="1:9" ht="63" x14ac:dyDescent="0.25">
      <c r="A5" s="33" t="s">
        <v>593</v>
      </c>
      <c r="B5" s="33" t="s">
        <v>609</v>
      </c>
      <c r="C5" s="33" t="s">
        <v>610</v>
      </c>
      <c r="D5" s="33" t="s">
        <v>594</v>
      </c>
      <c r="E5" s="33" t="s">
        <v>595</v>
      </c>
      <c r="F5" s="33" t="s">
        <v>596</v>
      </c>
      <c r="G5" s="34" t="s">
        <v>597</v>
      </c>
      <c r="H5" s="34" t="s">
        <v>598</v>
      </c>
      <c r="I5" s="34" t="s">
        <v>599</v>
      </c>
    </row>
    <row r="6" spans="1:9" x14ac:dyDescent="0.25">
      <c r="A6" s="29">
        <v>1</v>
      </c>
      <c r="B6" s="29" t="s">
        <v>611</v>
      </c>
      <c r="C6" s="29" t="s">
        <v>612</v>
      </c>
      <c r="D6" s="30" t="str">
        <f>IK!Z6</f>
        <v>2</v>
      </c>
      <c r="E6" s="30" t="str">
        <f>IA!AV6</f>
        <v>3</v>
      </c>
      <c r="F6" s="30">
        <f>IP!K6</f>
        <v>3</v>
      </c>
      <c r="G6" s="31">
        <f t="shared" ref="G6:G14" si="0">IF(ISERROR(D6+E6+F6),"",D6+E6+F6)</f>
        <v>8</v>
      </c>
      <c r="H6" s="31" t="str">
        <f t="shared" ref="H6:H14" si="1">IF(G6="","",IF(G6&lt;=5,"RENTAN",IF(G6&gt;7,"AMAN","WASPADA")))</f>
        <v>AMAN</v>
      </c>
      <c r="I6" s="30" t="str">
        <f t="shared" ref="I6:I14" si="2">IF(H6="","",IF(H6="aman","3",IF(H6="rentan","1","2")))</f>
        <v>3</v>
      </c>
    </row>
    <row r="7" spans="1:9" x14ac:dyDescent="0.25">
      <c r="A7" s="29"/>
      <c r="B7" s="29"/>
      <c r="C7" s="29" t="s">
        <v>613</v>
      </c>
      <c r="D7" s="30" t="str">
        <f>IK!Z7</f>
        <v>2</v>
      </c>
      <c r="E7" s="30" t="str">
        <f>IA!AV7</f>
        <v>3</v>
      </c>
      <c r="F7" s="30">
        <f>IP!K7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614</v>
      </c>
      <c r="D8" s="30" t="str">
        <f>IK!Z8</f>
        <v>2</v>
      </c>
      <c r="E8" s="30" t="str">
        <f>IA!AV8</f>
        <v>3</v>
      </c>
      <c r="F8" s="30">
        <f>IP!K8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615</v>
      </c>
      <c r="D9" s="30" t="str">
        <f>IK!Z9</f>
        <v>2</v>
      </c>
      <c r="E9" s="30" t="str">
        <f>IA!AV9</f>
        <v>3</v>
      </c>
      <c r="F9" s="30">
        <f>IP!K9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616</v>
      </c>
      <c r="D10" s="30" t="str">
        <f>IK!Z10</f>
        <v>2</v>
      </c>
      <c r="E10" s="30" t="str">
        <f>IA!AV10</f>
        <v>3</v>
      </c>
      <c r="F10" s="30">
        <f>IP!K10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611</v>
      </c>
      <c r="D11" s="30" t="str">
        <f>IK!Z11</f>
        <v>2</v>
      </c>
      <c r="E11" s="30" t="str">
        <f>IA!AV11</f>
        <v>3</v>
      </c>
      <c r="F11" s="30">
        <f>IP!K11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29"/>
      <c r="B12" s="29"/>
      <c r="C12" s="29" t="s">
        <v>617</v>
      </c>
      <c r="D12" s="30" t="str">
        <f>IK!Z12</f>
        <v>2</v>
      </c>
      <c r="E12" s="30" t="str">
        <f>IA!AV12</f>
        <v>3</v>
      </c>
      <c r="F12" s="30">
        <f>IP!K12</f>
        <v>3</v>
      </c>
      <c r="G12" s="31">
        <f t="shared" si="0"/>
        <v>8</v>
      </c>
      <c r="H12" s="31" t="str">
        <f t="shared" si="1"/>
        <v>AMAN</v>
      </c>
      <c r="I12" s="30" t="str">
        <f t="shared" si="2"/>
        <v>3</v>
      </c>
    </row>
    <row r="13" spans="1:9" x14ac:dyDescent="0.25">
      <c r="A13" s="29"/>
      <c r="B13" s="29"/>
      <c r="C13" s="29" t="s">
        <v>618</v>
      </c>
      <c r="D13" s="30" t="str">
        <f>IK!Z13</f>
        <v>2</v>
      </c>
      <c r="E13" s="30" t="str">
        <f>IA!AV13</f>
        <v>3</v>
      </c>
      <c r="F13" s="30">
        <f>IP!K13</f>
        <v>3</v>
      </c>
      <c r="G13" s="31">
        <f t="shared" si="0"/>
        <v>8</v>
      </c>
      <c r="H13" s="31" t="str">
        <f t="shared" si="1"/>
        <v>AMAN</v>
      </c>
      <c r="I13" s="30" t="str">
        <f t="shared" si="2"/>
        <v>3</v>
      </c>
    </row>
    <row r="14" spans="1:9" x14ac:dyDescent="0.25">
      <c r="A14" s="157" t="str">
        <f>B5&amp;" "&amp;B6</f>
        <v>KOTA CILEGON</v>
      </c>
      <c r="B14" s="157"/>
      <c r="C14" s="157"/>
      <c r="D14" s="107" t="str">
        <f>IK!Z39</f>
        <v>2</v>
      </c>
      <c r="E14" s="107" t="str">
        <f>IA!AV14</f>
        <v>3</v>
      </c>
      <c r="F14" s="107">
        <f>IP!K14</f>
        <v>3</v>
      </c>
      <c r="G14" s="108">
        <f t="shared" si="0"/>
        <v>8</v>
      </c>
      <c r="H14" s="108" t="str">
        <f t="shared" si="1"/>
        <v>AMAN</v>
      </c>
      <c r="I14" s="107" t="str">
        <f t="shared" si="2"/>
        <v>3</v>
      </c>
    </row>
  </sheetData>
  <autoFilter ref="A5:I13" xr:uid="{00000000-0009-0000-0000-000003000000}"/>
  <mergeCells count="2">
    <mergeCell ref="A1:F1"/>
    <mergeCell ref="A14:C14"/>
  </mergeCells>
  <conditionalFormatting sqref="H6:H14">
    <cfRule type="expression" dxfId="5" priority="1" stopIfTrue="1">
      <formula>$H6="Rentan"</formula>
    </cfRule>
    <cfRule type="expression" dxfId="4" priority="2" stopIfTrue="1">
      <formula>$H6="Waspada"</formula>
    </cfRule>
    <cfRule type="expression" dxfId="3" priority="3" stopIfTrue="1">
      <formula>$H6="Aman"</formula>
    </cfRule>
    <cfRule type="expression" dxfId="2" priority="16" stopIfTrue="1">
      <formula>$H6="Rentan"</formula>
    </cfRule>
    <cfRule type="expression" dxfId="1" priority="17" stopIfTrue="1">
      <formula>$H6="Waspada"</formula>
    </cfRule>
    <cfRule type="expression" dxfId="0" priority="18" stopIfTrue="1">
      <formula>$H6="Aman"</formula>
    </cfRule>
  </conditionalFormatting>
  <pageMargins left="0.69930555555555596" right="0.69930555555555596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C17" sqref="C17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11" t="s">
        <v>0</v>
      </c>
      <c r="B1" s="111"/>
      <c r="C1" s="111"/>
    </row>
    <row r="2" spans="1:21" x14ac:dyDescent="0.25">
      <c r="A2" s="116" t="s">
        <v>3</v>
      </c>
      <c r="B2" s="116" t="s">
        <v>4</v>
      </c>
      <c r="C2" s="116" t="s">
        <v>5</v>
      </c>
      <c r="D2" s="158" t="s">
        <v>600</v>
      </c>
      <c r="E2" s="158"/>
      <c r="F2" s="158"/>
      <c r="G2" s="158" t="s">
        <v>601</v>
      </c>
      <c r="H2" s="158"/>
      <c r="I2" s="158"/>
      <c r="J2" s="158" t="s">
        <v>602</v>
      </c>
      <c r="K2" s="158"/>
      <c r="L2" s="158"/>
      <c r="M2" s="158" t="s">
        <v>603</v>
      </c>
      <c r="N2" s="158"/>
      <c r="O2" s="158"/>
      <c r="P2" s="158" t="s">
        <v>604</v>
      </c>
      <c r="Q2" s="158"/>
      <c r="R2" s="158"/>
      <c r="S2" s="158" t="s">
        <v>605</v>
      </c>
      <c r="T2" s="158"/>
      <c r="U2" s="158"/>
    </row>
    <row r="3" spans="1:21" ht="30" customHeight="1" x14ac:dyDescent="0.25">
      <c r="A3" s="116"/>
      <c r="B3" s="116"/>
      <c r="C3" s="116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2024-12-10T02:07:06Z</cp:lastPrinted>
  <dcterms:created xsi:type="dcterms:W3CDTF">2020-10-28T09:58:00Z</dcterms:created>
  <dcterms:modified xsi:type="dcterms:W3CDTF">2024-12-10T02:07:14Z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