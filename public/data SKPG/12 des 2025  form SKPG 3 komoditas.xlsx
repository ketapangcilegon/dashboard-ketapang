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2025\SKPG 2025\form kirim skpg 2025\"/>
    </mc:Choice>
  </mc:AlternateContent>
  <xr:revisionPtr revIDLastSave="0" documentId="13_ncr:1_{66819C19-519B-4C5D-ACE7-0538357FA1C4}" xr6:coauthVersionLast="47" xr6:coauthVersionMax="47" xr10:uidLastSave="{00000000-0000-0000-0000-000000000000}"/>
  <workbookProtection lockStructure="1"/>
  <bookViews>
    <workbookView xWindow="-120" yWindow="-120" windowWidth="21840" windowHeight="13140" firstSheet="1" activeTab="1" xr2:uid="{00000000-000D-0000-FFFF-FFFF00000000}"/>
  </bookViews>
  <sheets>
    <sheet name="IK" sheetId="1" state="hidden" r:id="rId1"/>
    <sheet name="IA" sheetId="2" r:id="rId2"/>
    <sheet name="IP" sheetId="3" r:id="rId3"/>
    <sheet name="IKB" sheetId="4" r:id="rId4"/>
    <sheet name="BMKG" sheetId="5" state="hidden" r:id="rId5"/>
    <sheet name="PVTX" sheetId="6" state="hidden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6" l="1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O12" i="5"/>
  <c r="N12" i="5"/>
  <c r="L12" i="5"/>
  <c r="K12" i="5"/>
  <c r="I12" i="5"/>
  <c r="H12" i="5"/>
  <c r="G12" i="5"/>
  <c r="E12" i="5"/>
  <c r="O11" i="5"/>
  <c r="N11" i="5"/>
  <c r="K11" i="5"/>
  <c r="O10" i="5"/>
  <c r="N10" i="5"/>
  <c r="K10" i="5"/>
  <c r="O9" i="5"/>
  <c r="N9" i="5"/>
  <c r="K9" i="5"/>
  <c r="O8" i="5"/>
  <c r="N8" i="5"/>
  <c r="K8" i="5"/>
  <c r="O7" i="5"/>
  <c r="N7" i="5"/>
  <c r="K7" i="5"/>
  <c r="O6" i="5"/>
  <c r="N6" i="5"/>
  <c r="K6" i="5"/>
  <c r="O5" i="5"/>
  <c r="N5" i="5"/>
  <c r="K5" i="5"/>
  <c r="O4" i="5"/>
  <c r="N4" i="5"/>
  <c r="K4" i="5"/>
  <c r="H10" i="4"/>
  <c r="G10" i="4"/>
  <c r="E10" i="4"/>
  <c r="L12" i="3"/>
  <c r="K12" i="3"/>
  <c r="J12" i="3"/>
  <c r="I12" i="3"/>
  <c r="H12" i="3"/>
  <c r="G12" i="3"/>
  <c r="E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13" i="2"/>
  <c r="M13" i="2"/>
  <c r="L13" i="2"/>
  <c r="K13" i="2"/>
  <c r="J13" i="2"/>
  <c r="I13" i="2"/>
  <c r="H13" i="2"/>
  <c r="G13" i="2"/>
  <c r="E13" i="2"/>
  <c r="S12" i="2"/>
  <c r="T12" i="2" s="1"/>
  <c r="Q12" i="2"/>
  <c r="R12" i="2" s="1"/>
  <c r="O12" i="2"/>
  <c r="P12" i="2" s="1"/>
  <c r="S11" i="2"/>
  <c r="T11" i="2" s="1"/>
  <c r="Q11" i="2"/>
  <c r="R11" i="2" s="1"/>
  <c r="O11" i="2"/>
  <c r="P11" i="2" s="1"/>
  <c r="S10" i="2"/>
  <c r="T10" i="2" s="1"/>
  <c r="Q10" i="2"/>
  <c r="R10" i="2" s="1"/>
  <c r="O10" i="2"/>
  <c r="P10" i="2" s="1"/>
  <c r="S9" i="2"/>
  <c r="T9" i="2" s="1"/>
  <c r="Q9" i="2"/>
  <c r="R9" i="2" s="1"/>
  <c r="O9" i="2"/>
  <c r="P9" i="2" s="1"/>
  <c r="S8" i="2"/>
  <c r="T8" i="2" s="1"/>
  <c r="Q8" i="2"/>
  <c r="R8" i="2" s="1"/>
  <c r="O8" i="2"/>
  <c r="P8" i="2" s="1"/>
  <c r="S7" i="2"/>
  <c r="T7" i="2" s="1"/>
  <c r="Q7" i="2"/>
  <c r="R7" i="2" s="1"/>
  <c r="O7" i="2"/>
  <c r="P7" i="2" s="1"/>
  <c r="S6" i="2"/>
  <c r="T6" i="2" s="1"/>
  <c r="Q6" i="2"/>
  <c r="R6" i="2" s="1"/>
  <c r="O6" i="2"/>
  <c r="P6" i="2" s="1"/>
  <c r="S5" i="2"/>
  <c r="T5" i="2" s="1"/>
  <c r="Q5" i="2"/>
  <c r="R5" i="2" s="1"/>
  <c r="O5" i="2"/>
  <c r="P5" i="2" s="1"/>
  <c r="J4" i="2"/>
  <c r="L4" i="2" s="1"/>
  <c r="N4" i="2" s="1"/>
  <c r="I4" i="2"/>
  <c r="K4" i="2" s="1"/>
  <c r="M4" i="2" s="1"/>
  <c r="L3" i="2"/>
  <c r="N3" i="2" s="1"/>
  <c r="K3" i="2"/>
  <c r="M3" i="2" s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Y12" i="1"/>
  <c r="Z12" i="1" s="1"/>
  <c r="AA12" i="1" s="1"/>
  <c r="AB12" i="1" s="1"/>
  <c r="U12" i="1"/>
  <c r="V12" i="1" s="1"/>
  <c r="W12" i="1" s="1"/>
  <c r="X12" i="1" s="1"/>
  <c r="Y11" i="1"/>
  <c r="Z11" i="1" s="1"/>
  <c r="AA11" i="1" s="1"/>
  <c r="AB11" i="1" s="1"/>
  <c r="U11" i="1"/>
  <c r="V11" i="1" s="1"/>
  <c r="W11" i="1" s="1"/>
  <c r="Y10" i="1"/>
  <c r="Z10" i="1" s="1"/>
  <c r="AA10" i="1" s="1"/>
  <c r="AB10" i="1" s="1"/>
  <c r="U10" i="1"/>
  <c r="V10" i="1" s="1"/>
  <c r="W10" i="1" s="1"/>
  <c r="Y9" i="1"/>
  <c r="Z9" i="1" s="1"/>
  <c r="AA9" i="1" s="1"/>
  <c r="AB9" i="1" s="1"/>
  <c r="U9" i="1"/>
  <c r="V9" i="1" s="1"/>
  <c r="W9" i="1" s="1"/>
  <c r="Y8" i="1"/>
  <c r="Z8" i="1" s="1"/>
  <c r="AA8" i="1" s="1"/>
  <c r="AB8" i="1" s="1"/>
  <c r="U8" i="1"/>
  <c r="V8" i="1" s="1"/>
  <c r="W8" i="1" s="1"/>
  <c r="X8" i="1" s="1"/>
  <c r="Y7" i="1"/>
  <c r="Z7" i="1" s="1"/>
  <c r="AA7" i="1" s="1"/>
  <c r="AB7" i="1" s="1"/>
  <c r="U7" i="1"/>
  <c r="V7" i="1" s="1"/>
  <c r="W7" i="1" s="1"/>
  <c r="X7" i="1" s="1"/>
  <c r="Y6" i="1"/>
  <c r="Z6" i="1" s="1"/>
  <c r="AA6" i="1" s="1"/>
  <c r="AB6" i="1" s="1"/>
  <c r="U6" i="1"/>
  <c r="V6" i="1" s="1"/>
  <c r="W6" i="1" s="1"/>
  <c r="Y5" i="1"/>
  <c r="Z5" i="1" s="1"/>
  <c r="AA5" i="1" s="1"/>
  <c r="AB5" i="1" s="1"/>
  <c r="U5" i="1"/>
  <c r="V5" i="1" s="1"/>
  <c r="W5" i="1" s="1"/>
  <c r="M4" i="1"/>
  <c r="S4" i="1" s="1"/>
  <c r="O10" i="3" l="1"/>
  <c r="O6" i="3"/>
  <c r="P6" i="3" s="1"/>
  <c r="K4" i="4" s="1"/>
  <c r="O8" i="3"/>
  <c r="P8" i="3" s="1"/>
  <c r="K6" i="4" s="1"/>
  <c r="AC11" i="1"/>
  <c r="AD11" i="1" s="1"/>
  <c r="AE11" i="1" s="1"/>
  <c r="O13" i="2"/>
  <c r="P13" i="2" s="1"/>
  <c r="S13" i="2"/>
  <c r="T13" i="2" s="1"/>
  <c r="O5" i="3"/>
  <c r="Q8" i="3"/>
  <c r="P12" i="5"/>
  <c r="L4" i="1"/>
  <c r="K4" i="1" s="1"/>
  <c r="J4" i="1" s="1"/>
  <c r="P4" i="1" s="1"/>
  <c r="O9" i="3"/>
  <c r="Q9" i="3" s="1"/>
  <c r="U6" i="2"/>
  <c r="V6" i="2" s="1"/>
  <c r="W6" i="2" s="1"/>
  <c r="J3" i="4" s="1"/>
  <c r="U9" i="2"/>
  <c r="V9" i="2" s="1"/>
  <c r="W9" i="2" s="1"/>
  <c r="J6" i="4" s="1"/>
  <c r="O7" i="3"/>
  <c r="Q7" i="3" s="1"/>
  <c r="AC8" i="1"/>
  <c r="AD8" i="1" s="1"/>
  <c r="AE8" i="1" s="1"/>
  <c r="Y13" i="1"/>
  <c r="Z13" i="1" s="1"/>
  <c r="AA13" i="1" s="1"/>
  <c r="AB13" i="1" s="1"/>
  <c r="U5" i="2"/>
  <c r="V5" i="2" s="1"/>
  <c r="W5" i="2" s="1"/>
  <c r="J2" i="4" s="1"/>
  <c r="U7" i="2"/>
  <c r="V7" i="2" s="1"/>
  <c r="W7" i="2" s="1"/>
  <c r="J4" i="4" s="1"/>
  <c r="Q13" i="2"/>
  <c r="R13" i="2" s="1"/>
  <c r="O11" i="3"/>
  <c r="Q11" i="3" s="1"/>
  <c r="P11" i="5"/>
  <c r="AC5" i="1"/>
  <c r="AD5" i="1" s="1"/>
  <c r="AE5" i="1" s="1"/>
  <c r="X5" i="1"/>
  <c r="X10" i="1"/>
  <c r="AC10" i="1"/>
  <c r="AD10" i="1" s="1"/>
  <c r="AE10" i="1" s="1"/>
  <c r="U8" i="2"/>
  <c r="V8" i="2" s="1"/>
  <c r="W8" i="2" s="1"/>
  <c r="J5" i="4" s="1"/>
  <c r="U10" i="2"/>
  <c r="V10" i="2" s="1"/>
  <c r="W10" i="2" s="1"/>
  <c r="J7" i="4" s="1"/>
  <c r="U11" i="2"/>
  <c r="V11" i="2" s="1"/>
  <c r="W11" i="2" s="1"/>
  <c r="J8" i="4" s="1"/>
  <c r="Q10" i="3"/>
  <c r="P10" i="3"/>
  <c r="K8" i="4" s="1"/>
  <c r="AC7" i="1"/>
  <c r="AD7" i="1" s="1"/>
  <c r="AE7" i="1" s="1"/>
  <c r="AC9" i="1"/>
  <c r="AD9" i="1" s="1"/>
  <c r="AE9" i="1" s="1"/>
  <c r="X9" i="1"/>
  <c r="X11" i="1"/>
  <c r="U13" i="1"/>
  <c r="V13" i="1" s="1"/>
  <c r="W13" i="1" s="1"/>
  <c r="U12" i="2"/>
  <c r="V12" i="2" s="1"/>
  <c r="W12" i="2" s="1"/>
  <c r="J9" i="4" s="1"/>
  <c r="M12" i="3"/>
  <c r="O4" i="3"/>
  <c r="Q6" i="3"/>
  <c r="AC6" i="1"/>
  <c r="AD6" i="1" s="1"/>
  <c r="AE6" i="1" s="1"/>
  <c r="X6" i="1"/>
  <c r="I4" i="1"/>
  <c r="O4" i="1" s="1"/>
  <c r="AC12" i="1"/>
  <c r="AD12" i="1" s="1"/>
  <c r="AE12" i="1" s="1"/>
  <c r="N12" i="3"/>
  <c r="P4" i="5"/>
  <c r="P5" i="5"/>
  <c r="P6" i="5"/>
  <c r="P7" i="5"/>
  <c r="P8" i="5"/>
  <c r="P9" i="5"/>
  <c r="P10" i="5"/>
  <c r="Q4" i="1" l="1"/>
  <c r="R4" i="1"/>
  <c r="P9" i="3"/>
  <c r="K7" i="4" s="1"/>
  <c r="L7" i="4" s="1"/>
  <c r="M7" i="4" s="1"/>
  <c r="N7" i="4" s="1"/>
  <c r="L6" i="4"/>
  <c r="M6" i="4" s="1"/>
  <c r="N6" i="4" s="1"/>
  <c r="P11" i="3"/>
  <c r="K9" i="4" s="1"/>
  <c r="L9" i="4" s="1"/>
  <c r="M9" i="4" s="1"/>
  <c r="N9" i="4" s="1"/>
  <c r="U13" i="2"/>
  <c r="V13" i="2" s="1"/>
  <c r="W13" i="2" s="1"/>
  <c r="J10" i="4" s="1"/>
  <c r="L4" i="4"/>
  <c r="M4" i="4" s="1"/>
  <c r="N4" i="4" s="1"/>
  <c r="Q5" i="3"/>
  <c r="P5" i="3"/>
  <c r="K3" i="4" s="1"/>
  <c r="L3" i="4" s="1"/>
  <c r="M3" i="4" s="1"/>
  <c r="N3" i="4" s="1"/>
  <c r="P7" i="3"/>
  <c r="K5" i="4" s="1"/>
  <c r="AC13" i="1"/>
  <c r="AD13" i="1" s="1"/>
  <c r="AE13" i="1" s="1"/>
  <c r="X13" i="1"/>
  <c r="P4" i="3"/>
  <c r="K2" i="4" s="1"/>
  <c r="L2" i="4" s="1"/>
  <c r="M2" i="4" s="1"/>
  <c r="N2" i="4" s="1"/>
  <c r="Q4" i="3"/>
  <c r="L8" i="4"/>
  <c r="M8" i="4" s="1"/>
  <c r="N8" i="4" s="1"/>
  <c r="O12" i="3"/>
  <c r="L5" i="4"/>
  <c r="M5" i="4" s="1"/>
  <c r="N5" i="4" s="1"/>
  <c r="Q12" i="3" l="1"/>
  <c r="P12" i="3"/>
  <c r="K10" i="4" s="1"/>
  <c r="L10" i="4" s="1"/>
  <c r="M10" i="4" s="1"/>
  <c r="N10" i="4" s="1"/>
</calcChain>
</file>

<file path=xl/sharedStrings.xml><?xml version="1.0" encoding="utf-8"?>
<sst xmlns="http://schemas.openxmlformats.org/spreadsheetml/2006/main" count="313" uniqueCount="98">
  <si>
    <t>shape_key</t>
  </si>
  <si>
    <t>shape_id</t>
  </si>
  <si>
    <t>data_year</t>
  </si>
  <si>
    <t>data_moth</t>
  </si>
  <si>
    <t>rice_plant_5</t>
  </si>
  <si>
    <t>rice_plant_4</t>
  </si>
  <si>
    <t>rice_plant_3</t>
  </si>
  <si>
    <t>rice_plant_2</t>
  </si>
  <si>
    <t>rice_plant_1</t>
  </si>
  <si>
    <t>rice_plant_0</t>
  </si>
  <si>
    <t>rice_fail_5</t>
  </si>
  <si>
    <t>rice_fail_4</t>
  </si>
  <si>
    <t>rice_fail_3</t>
  </si>
  <si>
    <t>rice_fail_2</t>
  </si>
  <si>
    <t>NO.</t>
  </si>
  <si>
    <t>KODE KECAMATAN</t>
  </si>
  <si>
    <t>PROVINSI</t>
  </si>
  <si>
    <t>KABUPATEN/ KOTA</t>
  </si>
  <si>
    <t>KECAMATAN</t>
  </si>
  <si>
    <t>TAHUN BERJALAN</t>
  </si>
  <si>
    <t>BULAN BERJALAN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</si>
  <si>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</si>
  <si>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</si>
  <si>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</si>
  <si>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</si>
  <si>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</si>
  <si>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</si>
  <si>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</si>
  <si>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</si>
  <si>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</si>
  <si>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</si>
  <si>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</si>
  <si>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Banten</t>
  </si>
  <si>
    <t>Kota Cilegon</t>
  </si>
  <si>
    <t>Cibeber</t>
  </si>
  <si>
    <t>Indonesia</t>
  </si>
  <si>
    <t>Cilegon</t>
  </si>
  <si>
    <t>Pulomerak</t>
  </si>
  <si>
    <t>Ciwandan</t>
  </si>
  <si>
    <t>Jombang</t>
  </si>
  <si>
    <t>Gerogol</t>
  </si>
  <si>
    <t>Purwakarta</t>
  </si>
  <si>
    <t>Citangkil</t>
  </si>
  <si>
    <t>rice_price_1</t>
  </si>
  <si>
    <t>rice_price_0</t>
  </si>
  <si>
    <t>voil_price_1</t>
  </si>
  <si>
    <t>voil_price_0</t>
  </si>
  <si>
    <t>egg_price_1</t>
  </si>
  <si>
    <t>egg_price_0</t>
  </si>
  <si>
    <t>KABUPATEN/KOTA</t>
  </si>
  <si>
    <t>Harga Beras</t>
  </si>
  <si>
    <t>Harga Minyak Goreng</t>
  </si>
  <si>
    <t>Harga Telur Ayam</t>
  </si>
  <si>
    <t>BERAS</t>
  </si>
  <si>
    <t>MINYAK GORENG</t>
  </si>
  <si>
    <t>TELUR AYAM</t>
  </si>
  <si>
    <t>BOBOT</t>
  </si>
  <si>
    <t>Bulan Berjalan di 1 Tahun Sebelumnya</t>
  </si>
  <si>
    <t>VALUE</t>
  </si>
  <si>
    <t>STATUS</t>
  </si>
  <si>
    <t>INDEKS</t>
  </si>
  <si>
    <t>sev_under_w</t>
  </si>
  <si>
    <t>under_w</t>
  </si>
  <si>
    <t>normal_w</t>
  </si>
  <si>
    <t>over_w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</si>
  <si>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</si>
  <si>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</si>
  <si>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</si>
  <si>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</si>
  <si>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</si>
  <si>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</si>
  <si>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</si>
  <si>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</si>
  <si>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</si>
  <si>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</si>
  <si>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</si>
  <si>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</si>
  <si>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</si>
  <si>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</si>
  <si>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skor_dry</t>
  </si>
  <si>
    <t>skor_wet</t>
  </si>
  <si>
    <t>RINGKASAN POTENSI KERING</t>
  </si>
  <si>
    <t>RINGKASAN POTENSI BASAH</t>
  </si>
  <si>
    <t>RINGKASAN KONDISI IKLIM</t>
  </si>
  <si>
    <t>Skor</t>
  </si>
  <si>
    <t>Kelas</t>
  </si>
  <si>
    <t>Kategori</t>
  </si>
  <si>
    <t>Kombinasi Kelas</t>
  </si>
  <si>
    <t>0</t>
  </si>
  <si>
    <t>Aman</t>
  </si>
  <si>
    <t>Waspada</t>
  </si>
  <si>
    <t>Siaga</t>
  </si>
  <si>
    <t>Awas</t>
  </si>
  <si>
    <t>Tidak ada data</t>
  </si>
  <si>
    <t>1</t>
  </si>
  <si>
    <t>2</t>
  </si>
  <si>
    <t>3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</si>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</sst>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0_);[Red]\(0\)"/>
    <numFmt numFmtId="167" formatCode="#,##0.0_);[Red]\(#,##0.0\)"/>
    <numFmt numFmtId="168" formatCode="0.0_);[Red]\(0.0\)"/>
  </numFmts>
  <fonts count="14">
    <font>
      <sz val="11"/>
      <color rgb="FF000000"/>
      <name val="Aptos Narrow"/>
      <scheme val="minor"/>
    </font>
    <font>
      <sz val="12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rgb="FF000000"/>
      <name val="Aptos Narrow"/>
      <scheme val="minor"/>
    </font>
    <font>
      <sz val="12"/>
      <color rgb="FF000000"/>
      <name val="Aptos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rgb="FFFFFFFF"/>
      <name val="Aptos Narrow"/>
      <scheme val="minor"/>
    </font>
    <font>
      <sz val="11"/>
      <color rgb="FF393939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  <fill>
      <patternFill patternType="solid">
        <fgColor rgb="FFFF99FF"/>
        <bgColor rgb="FFFFFFFF"/>
      </patternFill>
    </fill>
    <fill>
      <patternFill patternType="solid">
        <fgColor rgb="FF0F9ED5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C0000"/>
        <bgColor rgb="FFFFFFFF"/>
      </patternFill>
    </fill>
    <fill>
      <patternFill patternType="solid">
        <fgColor rgb="FFFF00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96DDF7"/>
        <bgColor rgb="FFFFFFFF"/>
      </patternFill>
    </fill>
    <fill>
      <patternFill patternType="solid">
        <fgColor rgb="FFE59EDE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D9D9D9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164" fontId="1" fillId="0" borderId="1" xfId="0" applyNumberFormat="1" applyFont="1" applyBorder="1" applyAlignment="1" applyProtection="1">
      <alignment horizontal="right"/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1" fontId="2" fillId="0" borderId="0" xfId="0" applyNumberFormat="1" applyFont="1"/>
    <xf numFmtId="41" fontId="4" fillId="0" borderId="0" xfId="0" applyNumberFormat="1" applyFont="1"/>
    <xf numFmtId="0" fontId="4" fillId="0" borderId="0" xfId="0" applyFont="1"/>
    <xf numFmtId="164" fontId="0" fillId="0" borderId="1" xfId="0" applyNumberFormat="1" applyBorder="1" applyAlignment="1" applyProtection="1">
      <alignment horizontal="lef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165" fontId="5" fillId="0" borderId="1" xfId="0" applyNumberFormat="1" applyFont="1" applyBorder="1" applyAlignment="1" applyProtection="1">
      <alignment horizontal="right" vertical="center"/>
      <protection locked="0"/>
    </xf>
    <xf numFmtId="41" fontId="0" fillId="0" borderId="1" xfId="0" applyNumberFormat="1" applyBorder="1" applyProtection="1">
      <protection locked="0"/>
    </xf>
    <xf numFmtId="41" fontId="6" fillId="0" borderId="1" xfId="0" applyNumberFormat="1" applyFont="1" applyBorder="1" applyAlignment="1" applyProtection="1">
      <alignment vertical="center"/>
      <protection locked="0"/>
    </xf>
    <xf numFmtId="0" fontId="7" fillId="5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7" fontId="7" fillId="2" borderId="1" xfId="0" applyNumberFormat="1" applyFont="1" applyFill="1" applyBorder="1" applyAlignment="1">
      <alignment horizontal="center" vertical="center"/>
    </xf>
    <xf numFmtId="17" fontId="9" fillId="6" borderId="1" xfId="0" applyNumberFormat="1" applyFont="1" applyFill="1" applyBorder="1" applyAlignment="1">
      <alignment horizontal="center" vertical="center"/>
    </xf>
    <xf numFmtId="17" fontId="7" fillId="7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" fontId="2" fillId="0" borderId="0" xfId="0" applyNumberFormat="1" applyFont="1"/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1" xfId="0" applyNumberFormat="1" applyBorder="1" applyAlignment="1" applyProtection="1">
      <alignment vertical="center"/>
      <protection locked="0"/>
    </xf>
    <xf numFmtId="164" fontId="2" fillId="0" borderId="1" xfId="0" applyNumberFormat="1" applyFont="1" applyBorder="1" applyProtection="1">
      <protection locked="0"/>
    </xf>
    <xf numFmtId="0" fontId="0" fillId="0" borderId="0" xfId="0" applyAlignment="1">
      <alignment horizontal="center" vertical="center"/>
    </xf>
    <xf numFmtId="164" fontId="10" fillId="8" borderId="1" xfId="0" applyNumberFormat="1" applyFont="1" applyFill="1" applyBorder="1" applyAlignment="1" applyProtection="1">
      <alignment horizontal="center" vertical="top"/>
      <protection locked="0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left"/>
    </xf>
    <xf numFmtId="164" fontId="12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16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6" fontId="5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 applyProtection="1">
      <alignment horizontal="right"/>
      <protection locked="0"/>
    </xf>
    <xf numFmtId="164" fontId="2" fillId="0" borderId="1" xfId="0" applyNumberFormat="1" applyFont="1" applyBorder="1" applyAlignment="1">
      <alignment horizontal="right" vertical="center"/>
    </xf>
    <xf numFmtId="49" fontId="0" fillId="0" borderId="0" xfId="0" applyNumberFormat="1"/>
    <xf numFmtId="0" fontId="3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 applyProtection="1">
      <alignment horizontal="right"/>
      <protection locked="0"/>
    </xf>
    <xf numFmtId="164" fontId="4" fillId="0" borderId="1" xfId="0" applyNumberFormat="1" applyFont="1" applyBorder="1" applyAlignment="1" applyProtection="1">
      <alignment horizontal="right" vertical="center"/>
      <protection locked="0"/>
    </xf>
    <xf numFmtId="37" fontId="13" fillId="0" borderId="2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43" fontId="7" fillId="12" borderId="1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40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40" fontId="7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ill>
        <patternFill patternType="solid">
          <bgColor rgb="FF66FF9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66FF9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66FF99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"/>
  <sheetViews>
    <sheetView topLeftCell="B2" workbookViewId="0">
      <selection activeCell="P4" sqref="P4"/>
    </sheetView>
  </sheetViews>
  <sheetFormatPr defaultColWidth="9.125" defaultRowHeight="15"/>
  <cols>
    <col min="1" max="1" width="9.125" style="2" hidden="1"/>
    <col min="2" max="2" width="6.875" style="2" customWidth="1"/>
    <col min="3" max="3" width="14.375" style="2" customWidth="1"/>
    <col min="4" max="6" width="17.125" style="2" customWidth="1"/>
    <col min="7" max="8" width="13.125" style="2" customWidth="1"/>
    <col min="9" max="9" width="10.875" style="2" customWidth="1"/>
    <col min="10" max="10" width="12.125" style="2" customWidth="1"/>
    <col min="11" max="11" width="11" style="2" customWidth="1"/>
    <col min="12" max="12" width="10.875" style="2" customWidth="1"/>
    <col min="13" max="13" width="12.25" style="2" customWidth="1"/>
    <col min="14" max="14" width="14.625" style="2" customWidth="1"/>
    <col min="15" max="19" width="10.375" style="2" customWidth="1"/>
    <col min="20" max="20" width="14.625" style="2" customWidth="1"/>
    <col min="21" max="21" width="15.125" style="2" customWidth="1"/>
    <col min="22" max="22" width="20.625" style="2" customWidth="1"/>
    <col min="23" max="23" width="20.875" style="2" customWidth="1"/>
    <col min="24" max="24" width="21.375" style="2" customWidth="1"/>
    <col min="25" max="25" width="14.625" style="2" customWidth="1"/>
    <col min="26" max="26" width="20.625" style="2" customWidth="1"/>
    <col min="27" max="27" width="20.875" style="2" customWidth="1"/>
    <col min="28" max="28" width="21.375" style="2" customWidth="1"/>
    <col min="29" max="29" width="20.625" style="3" customWidth="1"/>
    <col min="30" max="31" width="21.375" style="2" customWidth="1"/>
    <col min="32" max="34" width="9.125" style="2"/>
  </cols>
  <sheetData>
    <row r="1" spans="1:32" hidden="1">
      <c r="A1" s="2" t="s">
        <v>0</v>
      </c>
      <c r="C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>
        <v>6775643</v>
      </c>
    </row>
    <row r="2" spans="1:32" s="4" customFormat="1" ht="15.75" customHeight="1">
      <c r="B2" s="89" t="s">
        <v>14</v>
      </c>
      <c r="C2" s="86" t="s">
        <v>15</v>
      </c>
      <c r="D2" s="89" t="s">
        <v>16</v>
      </c>
      <c r="E2" s="89" t="s">
        <v>17</v>
      </c>
      <c r="F2" s="89" t="s">
        <v>18</v>
      </c>
      <c r="G2" s="86" t="s">
        <v>19</v>
      </c>
      <c r="H2" s="86" t="s">
        <v>20</v>
      </c>
      <c r="I2" s="85" t="s">
        <v>21</v>
      </c>
      <c r="J2" s="85"/>
      <c r="K2" s="85"/>
      <c r="L2" s="85"/>
      <c r="M2" s="85"/>
      <c r="N2" s="85"/>
      <c r="O2" s="80" t="s">
        <v>22</v>
      </c>
      <c r="P2" s="80"/>
      <c r="Q2" s="80"/>
      <c r="R2" s="80"/>
      <c r="S2" s="80"/>
      <c r="T2" s="80"/>
      <c r="U2" s="85" t="s">
        <v>21</v>
      </c>
      <c r="V2" s="85"/>
      <c r="W2" s="85"/>
      <c r="X2" s="85"/>
      <c r="Y2" s="80" t="s">
        <v>22</v>
      </c>
      <c r="Z2" s="80"/>
      <c r="AA2" s="80"/>
      <c r="AB2" s="80"/>
      <c r="AC2" s="79" t="s">
        <v>23</v>
      </c>
      <c r="AD2" s="79"/>
      <c r="AE2" s="79"/>
    </row>
    <row r="3" spans="1:32" s="4" customFormat="1" ht="15.6" customHeight="1">
      <c r="B3" s="89"/>
      <c r="C3" s="87"/>
      <c r="D3" s="89"/>
      <c r="E3" s="89"/>
      <c r="F3" s="89"/>
      <c r="G3" s="87"/>
      <c r="H3" s="87"/>
      <c r="I3" s="85" t="s">
        <v>24</v>
      </c>
      <c r="J3" s="85"/>
      <c r="K3" s="85"/>
      <c r="L3" s="85"/>
      <c r="M3" s="85"/>
      <c r="N3" s="81" t="s">
        <v>25</v>
      </c>
      <c r="O3" s="80" t="s">
        <v>24</v>
      </c>
      <c r="P3" s="80"/>
      <c r="Q3" s="80"/>
      <c r="R3" s="80"/>
      <c r="S3" s="80"/>
      <c r="T3" s="82" t="s">
        <v>25</v>
      </c>
      <c r="U3" s="81" t="s">
        <v>26</v>
      </c>
      <c r="V3" s="85" t="s">
        <v>27</v>
      </c>
      <c r="W3" s="85"/>
      <c r="X3" s="85"/>
      <c r="Y3" s="84" t="s">
        <v>26</v>
      </c>
      <c r="Z3" s="80" t="s">
        <v>27</v>
      </c>
      <c r="AA3" s="80"/>
      <c r="AB3" s="80"/>
      <c r="AC3" s="79"/>
      <c r="AD3" s="79"/>
      <c r="AE3" s="79"/>
    </row>
    <row r="4" spans="1:32" s="4" customFormat="1" ht="30" customHeight="1">
      <c r="B4" s="89"/>
      <c r="C4" s="88"/>
      <c r="D4" s="89"/>
      <c r="E4" s="89"/>
      <c r="F4" s="89"/>
      <c r="G4" s="88"/>
      <c r="H4" s="88"/>
      <c r="I4" s="5">
        <f>J4-1</f>
        <v>2020</v>
      </c>
      <c r="J4" s="5">
        <f>K4-1</f>
        <v>2021</v>
      </c>
      <c r="K4" s="5">
        <f>L4-1</f>
        <v>2022</v>
      </c>
      <c r="L4" s="5">
        <f>M4-1</f>
        <v>2023</v>
      </c>
      <c r="M4" s="5">
        <f>$G$5-1</f>
        <v>2024</v>
      </c>
      <c r="N4" s="81"/>
      <c r="O4" s="6">
        <f>I4</f>
        <v>2020</v>
      </c>
      <c r="P4" s="6">
        <f>J4</f>
        <v>2021</v>
      </c>
      <c r="Q4" s="6">
        <f>K4</f>
        <v>2022</v>
      </c>
      <c r="R4" s="6">
        <f>L4</f>
        <v>2023</v>
      </c>
      <c r="S4" s="6">
        <f>M4</f>
        <v>2024</v>
      </c>
      <c r="T4" s="83"/>
      <c r="U4" s="81" t="s">
        <v>26</v>
      </c>
      <c r="V4" s="5" t="s">
        <v>28</v>
      </c>
      <c r="W4" s="5" t="s">
        <v>29</v>
      </c>
      <c r="X4" s="5" t="s">
        <v>30</v>
      </c>
      <c r="Y4" s="84" t="s">
        <v>26</v>
      </c>
      <c r="Z4" s="6" t="s">
        <v>28</v>
      </c>
      <c r="AA4" s="6" t="s">
        <v>29</v>
      </c>
      <c r="AB4" s="6" t="s">
        <v>30</v>
      </c>
      <c r="AC4" s="7" t="s">
        <v>28</v>
      </c>
      <c r="AD4" s="7" t="s">
        <v>30</v>
      </c>
      <c r="AE4" s="7" t="s">
        <v>31</v>
      </c>
    </row>
    <row r="5" spans="1:32" ht="15.75" customHeight="1">
      <c r="A5" s="2">
        <v>623672</v>
      </c>
      <c r="B5" s="38">
        <v>1</v>
      </c>
      <c r="C5" s="39">
        <v>62367201</v>
      </c>
      <c r="D5" s="39" t="s">
        <v>32</v>
      </c>
      <c r="E5" s="39" t="s">
        <v>33</v>
      </c>
      <c r="F5" s="39" t="s">
        <v>34</v>
      </c>
      <c r="G5" s="42">
        <v>2025</v>
      </c>
      <c r="H5" s="42">
        <v>12</v>
      </c>
      <c r="I5" s="11"/>
      <c r="J5" s="11"/>
      <c r="K5" s="11"/>
      <c r="L5" s="11"/>
      <c r="M5" s="11"/>
      <c r="N5" s="12"/>
      <c r="O5" s="1"/>
      <c r="P5" s="1"/>
      <c r="Q5" s="1"/>
      <c r="R5" s="13"/>
      <c r="S5" s="14"/>
      <c r="T5" s="15"/>
      <c r="U5" s="45">
        <f>IF(ISERROR(AVERAGE(I$5:M$5)),0,AVERAGE(I$5:M$5))</f>
        <v>0</v>
      </c>
      <c r="V5" s="46">
        <f>IF(ISERROR(((N$5-U$5)/U$5)*100),0,((N$5-U$5)/U$5)*100)</f>
        <v>0</v>
      </c>
      <c r="W5" s="46">
        <f>IF(V$5="","",IF(V$5&gt;=5,3,IF(V$5&lt;-5,1,2)))</f>
        <v>2</v>
      </c>
      <c r="X5" s="46" t="str">
        <f>IF(W$5="","",IF(W$5=3,"AMAN",IF(W$5=1,"RENTAN","WASPADA")))</f>
        <v>WASPADA</v>
      </c>
      <c r="Y5" s="45">
        <f>IF(ISERROR(AVERAGE(O$5:S$5)),0,AVERAGE(O$5:S$5))</f>
        <v>0</v>
      </c>
      <c r="Z5" s="46">
        <f>IF(ISERROR(((T$5-Y$5)/Y$5)*100),0,((T$5-Y$5)/Y$5)*100)</f>
        <v>0</v>
      </c>
      <c r="AA5" s="46">
        <f>IF(Z$5="","",IF(Z$5&lt;-5,3,IF(Z$5&gt;=5,1,IF(Z$5=0,3,2))))</f>
        <v>3</v>
      </c>
      <c r="AB5" s="46" t="str">
        <f>IF(AA$5="","",IF(AA$5=3,"AMAN",IF(AA$5=1,"RENTAN","WASPADA")))</f>
        <v>AMAN</v>
      </c>
      <c r="AC5" s="46">
        <f>W$5+AA$5</f>
        <v>5</v>
      </c>
      <c r="AD5" s="46" t="str">
        <f>IF(AC$5="","",IF(AC$5&lt;=3,"RENTAN",IF(AC$5&gt;5,"AMAN","WASPADA")))</f>
        <v>WASPADA</v>
      </c>
      <c r="AE5" s="46" t="str">
        <f>IF(AD$5="","",IF(AD$5="AMAN","3",IF(AD$5="RENTAN","1","2")))</f>
        <v>2</v>
      </c>
      <c r="AF5" s="8"/>
    </row>
    <row r="6" spans="1:32" ht="15.75" customHeight="1">
      <c r="A6" s="2">
        <v>623672</v>
      </c>
      <c r="B6" s="38">
        <v>2</v>
      </c>
      <c r="C6" s="39">
        <v>62367202</v>
      </c>
      <c r="D6" s="39" t="s">
        <v>32</v>
      </c>
      <c r="E6" s="39" t="s">
        <v>33</v>
      </c>
      <c r="F6" s="39" t="s">
        <v>36</v>
      </c>
      <c r="G6" s="42">
        <v>2025</v>
      </c>
      <c r="H6" s="42">
        <v>12</v>
      </c>
      <c r="I6" s="11"/>
      <c r="J6" s="11"/>
      <c r="K6" s="11"/>
      <c r="L6" s="11"/>
      <c r="M6" s="11"/>
      <c r="N6" s="12"/>
      <c r="O6" s="1"/>
      <c r="P6" s="1"/>
      <c r="Q6" s="1"/>
      <c r="R6" s="13"/>
      <c r="S6" s="14"/>
      <c r="T6" s="15"/>
      <c r="U6" s="45">
        <f>IF(ISERROR(AVERAGE(I$6:M$6)),0,AVERAGE(I$6:M$6))</f>
        <v>0</v>
      </c>
      <c r="V6" s="46">
        <f>IF(ISERROR(((N$6-U$6)/U$6)*100),0,((N$6-U$6)/U$6)*100)</f>
        <v>0</v>
      </c>
      <c r="W6" s="46">
        <f>IF(V$6="","",IF(V$6&gt;=5,3,IF(V$6&lt;-5,1,2)))</f>
        <v>2</v>
      </c>
      <c r="X6" s="46" t="str">
        <f>IF(W$6="","",IF(W$6=3,"AMAN",IF(W$6=1,"RENTAN","WASPADA")))</f>
        <v>WASPADA</v>
      </c>
      <c r="Y6" s="45">
        <f>IF(ISERROR(AVERAGE(O$6:S$6)),0,AVERAGE(O$6:S$6))</f>
        <v>0</v>
      </c>
      <c r="Z6" s="46">
        <f>IF(ISERROR(((T$6-Y$6)/Y$6)*100),0,((T$6-Y$6)/Y$6)*100)</f>
        <v>0</v>
      </c>
      <c r="AA6" s="46">
        <f>IF(Z$6="","",IF(Z$6&lt;-5,3,IF(Z$6&gt;=5,1,IF(Z$6=0,3,2))))</f>
        <v>3</v>
      </c>
      <c r="AB6" s="46" t="str">
        <f>IF(AA$6="","",IF(AA$6=3,"AMAN",IF(AA$6=1,"RENTAN","WASPADA")))</f>
        <v>AMAN</v>
      </c>
      <c r="AC6" s="46">
        <f>W$6+AA$6</f>
        <v>5</v>
      </c>
      <c r="AD6" s="46" t="str">
        <f>IF(AC$6="","",IF(AC$6&lt;=3,"RENTAN",IF(AC$6&gt;5,"AMAN","WASPADA")))</f>
        <v>WASPADA</v>
      </c>
      <c r="AE6" s="46" t="str">
        <f>IF(AD$6="","",IF(AD$6="AMAN","3",IF(AD$6="RENTAN","1","2")))</f>
        <v>2</v>
      </c>
      <c r="AF6" s="8"/>
    </row>
    <row r="7" spans="1:32" ht="15.75" customHeight="1">
      <c r="A7" s="2">
        <v>623672</v>
      </c>
      <c r="B7" s="38">
        <v>3</v>
      </c>
      <c r="C7" s="39">
        <v>62367203</v>
      </c>
      <c r="D7" s="39" t="s">
        <v>32</v>
      </c>
      <c r="E7" s="39" t="s">
        <v>33</v>
      </c>
      <c r="F7" s="39" t="s">
        <v>37</v>
      </c>
      <c r="G7" s="42">
        <v>2025</v>
      </c>
      <c r="H7" s="42">
        <v>12</v>
      </c>
      <c r="I7" s="11"/>
      <c r="J7" s="11"/>
      <c r="K7" s="11"/>
      <c r="L7" s="11"/>
      <c r="M7" s="11"/>
      <c r="N7" s="12"/>
      <c r="O7" s="1"/>
      <c r="P7" s="1"/>
      <c r="Q7" s="1"/>
      <c r="R7" s="13"/>
      <c r="S7" s="14"/>
      <c r="T7" s="15"/>
      <c r="U7" s="45">
        <f>IF(ISERROR(AVERAGE(I$7:M$7)),0,AVERAGE(I$7:M$7))</f>
        <v>0</v>
      </c>
      <c r="V7" s="46">
        <f>IF(ISERROR(((N$7-U$7)/U$7)*100),0,((N$7-U$7)/U$7)*100)</f>
        <v>0</v>
      </c>
      <c r="W7" s="46">
        <f>IF(V$7="","",IF(V$7&gt;=5,3,IF(V$7&lt;-5,1,2)))</f>
        <v>2</v>
      </c>
      <c r="X7" s="46" t="str">
        <f>IF(W$7="","",IF(W$7=3,"AMAN",IF(W$7=1,"RENTAN","WASPADA")))</f>
        <v>WASPADA</v>
      </c>
      <c r="Y7" s="45">
        <f>IF(ISERROR(AVERAGE(O$7:S$7)),0,AVERAGE(O$7:S$7))</f>
        <v>0</v>
      </c>
      <c r="Z7" s="46">
        <f>IF(ISERROR(((T$7-Y$7)/Y$7)*100),0,((T$7-Y$7)/Y$7)*100)</f>
        <v>0</v>
      </c>
      <c r="AA7" s="46">
        <f>IF(Z$7="","",IF(Z$7&lt;-5,3,IF(Z$7&gt;=5,1,IF(Z$7=0,3,2))))</f>
        <v>3</v>
      </c>
      <c r="AB7" s="46" t="str">
        <f>IF(AA$7="","",IF(AA$7=3,"AMAN",IF(AA$7=1,"RENTAN","WASPADA")))</f>
        <v>AMAN</v>
      </c>
      <c r="AC7" s="46">
        <f>W$7+AA$7</f>
        <v>5</v>
      </c>
      <c r="AD7" s="46" t="str">
        <f>IF(AC$7="","",IF(AC$7&lt;=3,"RENTAN",IF(AC$7&gt;5,"AMAN","WASPADA")))</f>
        <v>WASPADA</v>
      </c>
      <c r="AE7" s="46" t="str">
        <f>IF(AD$7="","",IF(AD$7="AMAN","3",IF(AD$7="RENTAN","1","2")))</f>
        <v>2</v>
      </c>
      <c r="AF7" s="8"/>
    </row>
    <row r="8" spans="1:32" ht="15.75" customHeight="1">
      <c r="A8" s="2">
        <v>623672</v>
      </c>
      <c r="B8" s="38">
        <v>4</v>
      </c>
      <c r="C8" s="39">
        <v>62367204</v>
      </c>
      <c r="D8" s="39" t="s">
        <v>32</v>
      </c>
      <c r="E8" s="39" t="s">
        <v>33</v>
      </c>
      <c r="F8" s="39" t="s">
        <v>38</v>
      </c>
      <c r="G8" s="42">
        <v>2025</v>
      </c>
      <c r="H8" s="42">
        <v>12</v>
      </c>
      <c r="I8" s="11"/>
      <c r="J8" s="11"/>
      <c r="K8" s="11"/>
      <c r="L8" s="11"/>
      <c r="M8" s="11"/>
      <c r="N8" s="12"/>
      <c r="O8" s="1"/>
      <c r="P8" s="1"/>
      <c r="Q8" s="1"/>
      <c r="R8" s="13"/>
      <c r="S8" s="14"/>
      <c r="T8" s="15"/>
      <c r="U8" s="45">
        <f>IF(ISERROR(AVERAGE(I$8:M$8)),0,AVERAGE(I$8:M$8))</f>
        <v>0</v>
      </c>
      <c r="V8" s="46">
        <f>IF(ISERROR(((N$8-U$8)/U$8)*100),0,((N$8-U$8)/U$8)*100)</f>
        <v>0</v>
      </c>
      <c r="W8" s="46">
        <f>IF(V$8="","",IF(V$8&gt;=5,3,IF(V$8&lt;-5,1,2)))</f>
        <v>2</v>
      </c>
      <c r="X8" s="46" t="str">
        <f>IF(W$8="","",IF(W$8=3,"AMAN",IF(W$8=1,"RENTAN","WASPADA")))</f>
        <v>WASPADA</v>
      </c>
      <c r="Y8" s="45">
        <f>IF(ISERROR(AVERAGE(O$8:S$8)),0,AVERAGE(O$8:S$8))</f>
        <v>0</v>
      </c>
      <c r="Z8" s="46">
        <f>IF(ISERROR(((T$8-Y$8)/Y$8)*100),0,((T$8-Y$8)/Y$8)*100)</f>
        <v>0</v>
      </c>
      <c r="AA8" s="46">
        <f>IF(Z$8="","",IF(Z$8&lt;-5,3,IF(Z$8&gt;=5,1,IF(Z$8=0,3,2))))</f>
        <v>3</v>
      </c>
      <c r="AB8" s="46" t="str">
        <f>IF(AA$8="","",IF(AA$8=3,"AMAN",IF(AA$8=1,"RENTAN","WASPADA")))</f>
        <v>AMAN</v>
      </c>
      <c r="AC8" s="46">
        <f>W$8+AA$8</f>
        <v>5</v>
      </c>
      <c r="AD8" s="46" t="str">
        <f>IF(AC$8="","",IF(AC$8&lt;=3,"RENTAN",IF(AC$8&gt;5,"AMAN","WASPADA")))</f>
        <v>WASPADA</v>
      </c>
      <c r="AE8" s="46" t="str">
        <f>IF(AD$8="","",IF(AD$8="AMAN","3",IF(AD$8="RENTAN","1","2")))</f>
        <v>2</v>
      </c>
      <c r="AF8" s="8"/>
    </row>
    <row r="9" spans="1:32" ht="15.75" customHeight="1">
      <c r="A9" s="2">
        <v>623672</v>
      </c>
      <c r="B9" s="38">
        <v>5</v>
      </c>
      <c r="C9" s="39">
        <v>62367205</v>
      </c>
      <c r="D9" s="39" t="s">
        <v>32</v>
      </c>
      <c r="E9" s="39" t="s">
        <v>33</v>
      </c>
      <c r="F9" s="39" t="s">
        <v>39</v>
      </c>
      <c r="G9" s="42">
        <v>2025</v>
      </c>
      <c r="H9" s="42">
        <v>12</v>
      </c>
      <c r="I9" s="11"/>
      <c r="J9" s="11"/>
      <c r="K9" s="11"/>
      <c r="L9" s="11"/>
      <c r="M9" s="11"/>
      <c r="N9" s="12"/>
      <c r="O9" s="1"/>
      <c r="P9" s="1"/>
      <c r="Q9" s="1"/>
      <c r="R9" s="13"/>
      <c r="S9" s="14"/>
      <c r="T9" s="15"/>
      <c r="U9" s="45">
        <f>IF(ISERROR(AVERAGE(I$9:M$9)),0,AVERAGE(I$9:M$9))</f>
        <v>0</v>
      </c>
      <c r="V9" s="46">
        <f>IF(ISERROR(((N$9-U$9)/U$9)*100),0,((N$9-U$9)/U$9)*100)</f>
        <v>0</v>
      </c>
      <c r="W9" s="46">
        <f>IF(V$9="","",IF(V$9&gt;=5,3,IF(V$9&lt;-5,1,2)))</f>
        <v>2</v>
      </c>
      <c r="X9" s="46" t="str">
        <f>IF(W$9="","",IF(W$9=3,"AMAN",IF(W$9=1,"RENTAN","WASPADA")))</f>
        <v>WASPADA</v>
      </c>
      <c r="Y9" s="45">
        <f>IF(ISERROR(AVERAGE(O$9:S$9)),0,AVERAGE(O$9:S$9))</f>
        <v>0</v>
      </c>
      <c r="Z9" s="46">
        <f>IF(ISERROR(((T$9-Y$9)/Y$9)*100),0,((T$9-Y$9)/Y$9)*100)</f>
        <v>0</v>
      </c>
      <c r="AA9" s="46">
        <f>IF(Z$9="","",IF(Z$9&lt;-5,3,IF(Z$9&gt;=5,1,IF(Z$9=0,3,2))))</f>
        <v>3</v>
      </c>
      <c r="AB9" s="46" t="str">
        <f>IF(AA$9="","",IF(AA$9=3,"AMAN",IF(AA$9=1,"RENTAN","WASPADA")))</f>
        <v>AMAN</v>
      </c>
      <c r="AC9" s="46">
        <f>W$9+AA$9</f>
        <v>5</v>
      </c>
      <c r="AD9" s="46" t="str">
        <f>IF(AC$9="","",IF(AC$9&lt;=3,"RENTAN",IF(AC$9&gt;5,"AMAN","WASPADA")))</f>
        <v>WASPADA</v>
      </c>
      <c r="AE9" s="46" t="str">
        <f>IF(AD$9="","",IF(AD$9="AMAN","3",IF(AD$9="RENTAN","1","2")))</f>
        <v>2</v>
      </c>
      <c r="AF9" s="8"/>
    </row>
    <row r="10" spans="1:32" ht="15.75" customHeight="1">
      <c r="A10" s="2">
        <v>623672</v>
      </c>
      <c r="B10" s="38">
        <v>6</v>
      </c>
      <c r="C10" s="39">
        <v>62367206</v>
      </c>
      <c r="D10" s="39" t="s">
        <v>32</v>
      </c>
      <c r="E10" s="39" t="s">
        <v>33</v>
      </c>
      <c r="F10" s="39" t="s">
        <v>40</v>
      </c>
      <c r="G10" s="42">
        <v>2025</v>
      </c>
      <c r="H10" s="42">
        <v>12</v>
      </c>
      <c r="I10" s="11"/>
      <c r="J10" s="11"/>
      <c r="K10" s="11"/>
      <c r="L10" s="11"/>
      <c r="M10" s="11"/>
      <c r="N10" s="12"/>
      <c r="O10" s="1"/>
      <c r="P10" s="1"/>
      <c r="Q10" s="1"/>
      <c r="R10" s="13"/>
      <c r="S10" s="14"/>
      <c r="T10" s="15"/>
      <c r="U10" s="45">
        <f>IF(ISERROR(AVERAGE(I$10:M$10)),0,AVERAGE(I$10:M$10))</f>
        <v>0</v>
      </c>
      <c r="V10" s="46">
        <f>IF(ISERROR(((N$10-U$10)/U$10)*100),0,((N$10-U$10)/U$10)*100)</f>
        <v>0</v>
      </c>
      <c r="W10" s="46">
        <f>IF(V$10="","",IF(V$10&gt;=5,3,IF(V$10&lt;-5,1,2)))</f>
        <v>2</v>
      </c>
      <c r="X10" s="46" t="str">
        <f>IF(W$10="","",IF(W$10=3,"AMAN",IF(W$10=1,"RENTAN","WASPADA")))</f>
        <v>WASPADA</v>
      </c>
      <c r="Y10" s="45">
        <f>IF(ISERROR(AVERAGE(O$10:S$10)),0,AVERAGE(O$10:S$10))</f>
        <v>0</v>
      </c>
      <c r="Z10" s="46">
        <f>IF(ISERROR(((T$10-Y$10)/Y$10)*100),0,((T$10-Y$10)/Y$10)*100)</f>
        <v>0</v>
      </c>
      <c r="AA10" s="46">
        <f>IF(Z$10="","",IF(Z$10&lt;-5,3,IF(Z$10&gt;=5,1,IF(Z$10=0,3,2))))</f>
        <v>3</v>
      </c>
      <c r="AB10" s="46" t="str">
        <f>IF(AA$10="","",IF(AA$10=3,"AMAN",IF(AA$10=1,"RENTAN","WASPADA")))</f>
        <v>AMAN</v>
      </c>
      <c r="AC10" s="46">
        <f>W$10+AA$10</f>
        <v>5</v>
      </c>
      <c r="AD10" s="46" t="str">
        <f>IF(AC$10="","",IF(AC$10&lt;=3,"RENTAN",IF(AC$10&gt;5,"AMAN","WASPADA")))</f>
        <v>WASPADA</v>
      </c>
      <c r="AE10" s="46" t="str">
        <f>IF(AD$10="","",IF(AD$10="AMAN","3",IF(AD$10="RENTAN","1","2")))</f>
        <v>2</v>
      </c>
      <c r="AF10" s="8"/>
    </row>
    <row r="11" spans="1:32" ht="15.75" customHeight="1">
      <c r="A11" s="2">
        <v>623672</v>
      </c>
      <c r="B11" s="38">
        <v>7</v>
      </c>
      <c r="C11" s="39">
        <v>62367207</v>
      </c>
      <c r="D11" s="39" t="s">
        <v>32</v>
      </c>
      <c r="E11" s="39" t="s">
        <v>33</v>
      </c>
      <c r="F11" s="39" t="s">
        <v>41</v>
      </c>
      <c r="G11" s="42">
        <v>2025</v>
      </c>
      <c r="H11" s="42">
        <v>12</v>
      </c>
      <c r="I11" s="11"/>
      <c r="J11" s="11"/>
      <c r="K11" s="11"/>
      <c r="L11" s="11"/>
      <c r="M11" s="11"/>
      <c r="N11" s="12"/>
      <c r="O11" s="1"/>
      <c r="P11" s="1"/>
      <c r="Q11" s="1"/>
      <c r="R11" s="13"/>
      <c r="S11" s="14"/>
      <c r="T11" s="15"/>
      <c r="U11" s="45">
        <f>IF(ISERROR(AVERAGE(I$11:M$11)),0,AVERAGE(I$11:M$11))</f>
        <v>0</v>
      </c>
      <c r="V11" s="46">
        <f>IF(ISERROR(((N$11-U$11)/U$11)*100),0,((N$11-U$11)/U$11)*100)</f>
        <v>0</v>
      </c>
      <c r="W11" s="46">
        <f>IF(V$11="","",IF(V$11&gt;=5,3,IF(V$11&lt;-5,1,2)))</f>
        <v>2</v>
      </c>
      <c r="X11" s="46" t="str">
        <f>IF(W$11="","",IF(W$11=3,"AMAN",IF(W$11=1,"RENTAN","WASPADA")))</f>
        <v>WASPADA</v>
      </c>
      <c r="Y11" s="45">
        <f>IF(ISERROR(AVERAGE(O$11:S$11)),0,AVERAGE(O$11:S$11))</f>
        <v>0</v>
      </c>
      <c r="Z11" s="46">
        <f>IF(ISERROR(((T$11-Y$11)/Y$11)*100),0,((T$11-Y$11)/Y$11)*100)</f>
        <v>0</v>
      </c>
      <c r="AA11" s="46">
        <f>IF(Z$11="","",IF(Z$11&lt;-5,3,IF(Z$11&gt;=5,1,IF(Z$11=0,3,2))))</f>
        <v>3</v>
      </c>
      <c r="AB11" s="46" t="str">
        <f>IF(AA$11="","",IF(AA$11=3,"AMAN",IF(AA$11=1,"RENTAN","WASPADA")))</f>
        <v>AMAN</v>
      </c>
      <c r="AC11" s="46">
        <f>W$11+AA$11</f>
        <v>5</v>
      </c>
      <c r="AD11" s="46" t="str">
        <f>IF(AC$11="","",IF(AC$11&lt;=3,"RENTAN",IF(AC$11&gt;5,"AMAN","WASPADA")))</f>
        <v>WASPADA</v>
      </c>
      <c r="AE11" s="46" t="str">
        <f>IF(AD$11="","",IF(AD$11="AMAN","3",IF(AD$11="RENTAN","1","2")))</f>
        <v>2</v>
      </c>
      <c r="AF11" s="8"/>
    </row>
    <row r="12" spans="1:32" ht="15.75" customHeight="1">
      <c r="A12" s="2">
        <v>623672</v>
      </c>
      <c r="B12" s="38">
        <v>8</v>
      </c>
      <c r="C12" s="39">
        <v>62367208</v>
      </c>
      <c r="D12" s="39" t="s">
        <v>32</v>
      </c>
      <c r="E12" s="39" t="s">
        <v>33</v>
      </c>
      <c r="F12" s="39" t="s">
        <v>42</v>
      </c>
      <c r="G12" s="42">
        <v>2025</v>
      </c>
      <c r="H12" s="42">
        <v>12</v>
      </c>
      <c r="I12" s="11"/>
      <c r="J12" s="11"/>
      <c r="K12" s="11"/>
      <c r="L12" s="11"/>
      <c r="M12" s="11"/>
      <c r="N12" s="12"/>
      <c r="O12" s="1"/>
      <c r="P12" s="1"/>
      <c r="Q12" s="1"/>
      <c r="R12" s="13"/>
      <c r="S12" s="14"/>
      <c r="T12" s="15"/>
      <c r="U12" s="45">
        <f>IF(ISERROR(AVERAGE(I$12:M$12)),0,AVERAGE(I$12:M$12))</f>
        <v>0</v>
      </c>
      <c r="V12" s="46">
        <f>IF(ISERROR(((N$12-U$12)/U$12)*100),0,((N$12-U$12)/U$12)*100)</f>
        <v>0</v>
      </c>
      <c r="W12" s="46">
        <f>IF(V$12="","",IF(V$12&gt;=5,3,IF(V$12&lt;-5,1,2)))</f>
        <v>2</v>
      </c>
      <c r="X12" s="46" t="str">
        <f>IF(W$12="","",IF(W$12=3,"AMAN",IF(W$12=1,"RENTAN","WASPADA")))</f>
        <v>WASPADA</v>
      </c>
      <c r="Y12" s="45">
        <f>IF(ISERROR(AVERAGE(O$12:S$12)),0,AVERAGE(O$12:S$12))</f>
        <v>0</v>
      </c>
      <c r="Z12" s="46">
        <f>IF(ISERROR(((T$12-Y$12)/Y$12)*100),0,((T$12-Y$12)/Y$12)*100)</f>
        <v>0</v>
      </c>
      <c r="AA12" s="46">
        <f>IF(Z$12="","",IF(Z$12&lt;-5,3,IF(Z$12&gt;=5,1,IF(Z$12=0,3,2))))</f>
        <v>3</v>
      </c>
      <c r="AB12" s="46" t="str">
        <f>IF(AA$12="","",IF(AA$12=3,"AMAN",IF(AA$12=1,"RENTAN","WASPADA")))</f>
        <v>AMAN</v>
      </c>
      <c r="AC12" s="46">
        <f>W$12+AA$12</f>
        <v>5</v>
      </c>
      <c r="AD12" s="46" t="str">
        <f>IF(AC$12="","",IF(AC$12&lt;=3,"RENTAN",IF(AC$12&gt;5,"AMAN","WASPADA")))</f>
        <v>WASPADA</v>
      </c>
      <c r="AE12" s="46" t="str">
        <f>IF(AD$12="","",IF(AD$12="AMAN","3",IF(AD$12="RENTAN","1","2")))</f>
        <v>2</v>
      </c>
      <c r="AF12" s="8"/>
    </row>
    <row r="13" spans="1:32" s="10" customFormat="1" ht="14.45" customHeight="1">
      <c r="B13" s="43"/>
      <c r="C13" s="44"/>
      <c r="D13" s="43"/>
      <c r="E13" s="43" t="s">
        <v>35</v>
      </c>
      <c r="F13" s="43"/>
      <c r="G13" s="44">
        <f>$G$5</f>
        <v>2025</v>
      </c>
      <c r="H13" s="44">
        <f>$H$5</f>
        <v>12</v>
      </c>
      <c r="I13" s="49">
        <f t="shared" ref="I13:T13" si="0">SUM(I5:I12)</f>
        <v>0</v>
      </c>
      <c r="J13" s="49">
        <f t="shared" si="0"/>
        <v>0</v>
      </c>
      <c r="K13" s="49">
        <f t="shared" si="0"/>
        <v>0</v>
      </c>
      <c r="L13" s="49">
        <f t="shared" si="0"/>
        <v>0</v>
      </c>
      <c r="M13" s="49">
        <f t="shared" si="0"/>
        <v>0</v>
      </c>
      <c r="N13" s="49">
        <f t="shared" si="0"/>
        <v>0</v>
      </c>
      <c r="O13" s="49">
        <f t="shared" si="0"/>
        <v>0</v>
      </c>
      <c r="P13" s="49">
        <f t="shared" si="0"/>
        <v>0</v>
      </c>
      <c r="Q13" s="49">
        <f t="shared" si="0"/>
        <v>0</v>
      </c>
      <c r="R13" s="49">
        <f t="shared" si="0"/>
        <v>0</v>
      </c>
      <c r="S13" s="49">
        <f t="shared" si="0"/>
        <v>0</v>
      </c>
      <c r="T13" s="49">
        <f t="shared" si="0"/>
        <v>0</v>
      </c>
      <c r="U13" s="47">
        <f>IF(ISERROR(AVERAGE(I13:M13)),0,AVERAGE(I13:M13))</f>
        <v>0</v>
      </c>
      <c r="V13" s="48">
        <f>IF(ISERROR(((N13-U13)/U13)*100),0,((N13-U13)/U13)*100)</f>
        <v>0</v>
      </c>
      <c r="W13" s="48">
        <f>IF(V13="","",IF(V13&gt;=5,3,IF(V13&lt;-5,1,2)))</f>
        <v>2</v>
      </c>
      <c r="X13" s="48" t="str">
        <f>IF(W13="","",IF(W13=3,"AMAN",IF(W13=1,"RENTAN","WASPADA")))</f>
        <v>WASPADA</v>
      </c>
      <c r="Y13" s="47">
        <f>IF(ISERROR(AVERAGE(O13:S13)),0,AVERAGE(O13:S13))</f>
        <v>0</v>
      </c>
      <c r="Z13" s="48">
        <f>IF(ISERROR(((T13-Y13)/Y13)*100),0,((T13-Y13)/Y13)*100)</f>
        <v>0</v>
      </c>
      <c r="AA13" s="48">
        <f>IF(Z13="","",IF(Z13&lt;-5,3,IF(Z13&gt;=5,1,IF(Z13=0,3,2))))</f>
        <v>3</v>
      </c>
      <c r="AB13" s="48" t="str">
        <f>IF(AA13="","",IF(AA13=3,"AMAN",IF(AA13=1,"RENTAN","WASPADA")))</f>
        <v>AMAN</v>
      </c>
      <c r="AC13" s="48">
        <f>W13+AA13</f>
        <v>5</v>
      </c>
      <c r="AD13" s="48" t="str">
        <f>IF(AC13="","",IF(AC13&lt;=3,"RENTAN",IF(AC13&gt;5,"AMAN","WASPADA")))</f>
        <v>WASPADA</v>
      </c>
      <c r="AE13" s="48" t="str">
        <f>IF(AD13="","",IF(AD13="AMAN","3",IF(AD13="RENTAN","1","2")))</f>
        <v>2</v>
      </c>
      <c r="AF13" s="9"/>
    </row>
  </sheetData>
  <sheetProtection algorithmName="SHA-512" hashValue="B9ExiXs6RbTx5eSQMhZKnt7cEOu+uXTHu+FEO1avpTtrbRInqp1ksDGEq7Ag531dYpBJhQgwFKVp1unYtHi1GQ==" saltValue="442xrtnWTbR0UjXRHAtrAw==" spinCount="100000" sheet="1" objects="1" scenarios="1"/>
  <mergeCells count="20">
    <mergeCell ref="H2:H4"/>
    <mergeCell ref="G2:G4"/>
    <mergeCell ref="B2:B4"/>
    <mergeCell ref="D2:D4"/>
    <mergeCell ref="C2:C4"/>
    <mergeCell ref="E2:E4"/>
    <mergeCell ref="F2:F4"/>
    <mergeCell ref="AC2:AE3"/>
    <mergeCell ref="Z3:AB3"/>
    <mergeCell ref="N3:N4"/>
    <mergeCell ref="T3:T4"/>
    <mergeCell ref="U3:U4"/>
    <mergeCell ref="Y3:Y4"/>
    <mergeCell ref="I2:N2"/>
    <mergeCell ref="U2:X2"/>
    <mergeCell ref="Y2:AB2"/>
    <mergeCell ref="I3:M3"/>
    <mergeCell ref="O3:S3"/>
    <mergeCell ref="V3:X3"/>
    <mergeCell ref="O2:T2"/>
  </mergeCells>
  <conditionalFormatting sqref="AD4 AD5:AE13">
    <cfRule type="cellIs" dxfId="26" priority="1" operator="equal">
      <formula>"AMAN"</formula>
    </cfRule>
    <cfRule type="cellIs" dxfId="25" priority="2" operator="equal">
      <formula>"WASPADA"</formula>
    </cfRule>
    <cfRule type="cellIs" dxfId="24" priority="3" operator="equal">
      <formula>"RENTAN"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7"/>
  <sheetViews>
    <sheetView tabSelected="1" topLeftCell="D2" workbookViewId="0">
      <selection activeCell="I5" sqref="I5:N12"/>
    </sheetView>
  </sheetViews>
  <sheetFormatPr defaultColWidth="9" defaultRowHeight="15"/>
  <cols>
    <col min="1" max="1" width="9" style="2" hidden="1"/>
    <col min="2" max="2" width="5.125" style="26" customWidth="1"/>
    <col min="3" max="3" width="13" style="26" customWidth="1"/>
    <col min="4" max="6" width="21.125" style="26" customWidth="1"/>
    <col min="7" max="8" width="13.125" style="26" customWidth="1"/>
    <col min="9" max="14" width="18.125" style="26" customWidth="1"/>
    <col min="15" max="15" width="10.875" style="28" customWidth="1"/>
    <col min="16" max="16" width="10.875" style="26" customWidth="1"/>
    <col min="17" max="17" width="10.875" style="28" customWidth="1"/>
    <col min="18" max="18" width="10.875" style="26" customWidth="1"/>
    <col min="19" max="19" width="10.875" style="28" customWidth="1"/>
    <col min="20" max="20" width="10.875" style="26" customWidth="1"/>
    <col min="21" max="23" width="10.875" style="29" customWidth="1"/>
    <col min="24" max="25" width="9" style="26"/>
  </cols>
  <sheetData>
    <row r="1" spans="1:29" s="2" customFormat="1" hidden="1">
      <c r="A1" s="2" t="s">
        <v>0</v>
      </c>
      <c r="C1" s="2" t="s">
        <v>1</v>
      </c>
      <c r="G1" s="2" t="s">
        <v>2</v>
      </c>
      <c r="H1" s="2" t="s">
        <v>3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AC1" s="3"/>
    </row>
    <row r="2" spans="1:29" s="18" customFormat="1" ht="31.35" customHeight="1">
      <c r="A2" s="4"/>
      <c r="B2" s="91" t="s">
        <v>14</v>
      </c>
      <c r="C2" s="90" t="s">
        <v>15</v>
      </c>
      <c r="D2" s="92" t="s">
        <v>16</v>
      </c>
      <c r="E2" s="92" t="s">
        <v>49</v>
      </c>
      <c r="F2" s="92" t="s">
        <v>18</v>
      </c>
      <c r="G2" s="90" t="s">
        <v>19</v>
      </c>
      <c r="H2" s="90" t="s">
        <v>20</v>
      </c>
      <c r="I2" s="93" t="s">
        <v>50</v>
      </c>
      <c r="J2" s="94"/>
      <c r="K2" s="95" t="s">
        <v>51</v>
      </c>
      <c r="L2" s="96"/>
      <c r="M2" s="97" t="s">
        <v>52</v>
      </c>
      <c r="N2" s="98"/>
      <c r="O2" s="99" t="s">
        <v>53</v>
      </c>
      <c r="P2" s="100"/>
      <c r="Q2" s="99" t="s">
        <v>54</v>
      </c>
      <c r="R2" s="100"/>
      <c r="S2" s="99" t="s">
        <v>55</v>
      </c>
      <c r="T2" s="100"/>
      <c r="U2" s="101" t="s">
        <v>56</v>
      </c>
      <c r="V2" s="101"/>
      <c r="W2" s="101"/>
    </row>
    <row r="3" spans="1:29" s="18" customFormat="1" ht="47.25" customHeight="1">
      <c r="A3" s="4"/>
      <c r="B3" s="91"/>
      <c r="C3" s="90"/>
      <c r="D3" s="92"/>
      <c r="E3" s="92"/>
      <c r="F3" s="92"/>
      <c r="G3" s="90"/>
      <c r="H3" s="90"/>
      <c r="I3" s="19" t="s">
        <v>57</v>
      </c>
      <c r="J3" s="19" t="s">
        <v>25</v>
      </c>
      <c r="K3" s="20" t="str">
        <f t="shared" ref="K3:N4" si="0">I3</f>
        <v>Bulan Berjalan di 1 Tahun Sebelumnya</v>
      </c>
      <c r="L3" s="20" t="str">
        <f t="shared" si="0"/>
        <v>Bulan Berjalan</v>
      </c>
      <c r="M3" s="21" t="str">
        <f t="shared" si="0"/>
        <v>Bulan Berjalan di 1 Tahun Sebelumnya</v>
      </c>
      <c r="N3" s="21" t="str">
        <f t="shared" si="0"/>
        <v>Bulan Berjalan</v>
      </c>
      <c r="O3" s="102" t="s">
        <v>28</v>
      </c>
      <c r="P3" s="103" t="s">
        <v>29</v>
      </c>
      <c r="Q3" s="102" t="s">
        <v>28</v>
      </c>
      <c r="R3" s="103" t="s">
        <v>29</v>
      </c>
      <c r="S3" s="102" t="s">
        <v>28</v>
      </c>
      <c r="T3" s="103" t="s">
        <v>29</v>
      </c>
      <c r="U3" s="101"/>
      <c r="V3" s="101"/>
      <c r="W3" s="101"/>
    </row>
    <row r="4" spans="1:29" s="18" customFormat="1" ht="15.75" customHeight="1">
      <c r="A4" s="4"/>
      <c r="B4" s="91"/>
      <c r="C4" s="90"/>
      <c r="D4" s="92"/>
      <c r="E4" s="92"/>
      <c r="F4" s="92"/>
      <c r="G4" s="90"/>
      <c r="H4" s="90"/>
      <c r="I4" s="22">
        <f>DATE($G$5-1,$H$5,1)</f>
        <v>45627</v>
      </c>
      <c r="J4" s="22">
        <f>DATE($G$5,$H$5,1)</f>
        <v>45992</v>
      </c>
      <c r="K4" s="23">
        <f t="shared" si="0"/>
        <v>45627</v>
      </c>
      <c r="L4" s="23">
        <f t="shared" si="0"/>
        <v>45992</v>
      </c>
      <c r="M4" s="24">
        <f t="shared" si="0"/>
        <v>45627</v>
      </c>
      <c r="N4" s="24">
        <f t="shared" si="0"/>
        <v>45992</v>
      </c>
      <c r="O4" s="102"/>
      <c r="P4" s="103"/>
      <c r="Q4" s="102"/>
      <c r="R4" s="103"/>
      <c r="S4" s="102"/>
      <c r="T4" s="103"/>
      <c r="U4" s="17" t="s">
        <v>58</v>
      </c>
      <c r="V4" s="17" t="s">
        <v>59</v>
      </c>
      <c r="W4" s="17" t="s">
        <v>60</v>
      </c>
      <c r="X4" s="25"/>
    </row>
    <row r="5" spans="1:29" ht="14.45" customHeight="1">
      <c r="A5" s="2">
        <v>623672</v>
      </c>
      <c r="B5" s="40">
        <v>1</v>
      </c>
      <c r="C5" s="39">
        <v>62367201</v>
      </c>
      <c r="D5" s="39" t="s">
        <v>32</v>
      </c>
      <c r="E5" s="39" t="s">
        <v>33</v>
      </c>
      <c r="F5" s="39" t="s">
        <v>34</v>
      </c>
      <c r="G5" s="42">
        <v>2025</v>
      </c>
      <c r="H5" s="42">
        <v>12</v>
      </c>
      <c r="I5" s="30">
        <v>14000</v>
      </c>
      <c r="J5" s="31">
        <v>13500</v>
      </c>
      <c r="K5" s="30">
        <v>18968</v>
      </c>
      <c r="L5" s="31">
        <v>22000</v>
      </c>
      <c r="M5" s="30">
        <v>29355</v>
      </c>
      <c r="N5" s="31">
        <v>30333</v>
      </c>
      <c r="O5" s="55">
        <f>IF(ISERROR(((J$5-I$5)/I$5)*100),0,((J$5-I$5)/I$5)*100)</f>
        <v>-3.5714285714285712</v>
      </c>
      <c r="P5" s="41">
        <f>IF(O$5="","",IF(O$5&gt;10,1,IF(O$5&lt;5,3,2)))</f>
        <v>3</v>
      </c>
      <c r="Q5" s="55">
        <f>IF(ISERROR(((L$5-K$5)/K$5)*100),0,((L$5-K$5)/K$5)*100)</f>
        <v>15.984816533108393</v>
      </c>
      <c r="R5" s="41">
        <f>IF(Q$5="","",IF(Q$5&gt;15,1,IF(Q$5&lt;5,3,2)))</f>
        <v>1</v>
      </c>
      <c r="S5" s="55">
        <f>IF(ISERROR(((N$5-M$5)/M$5)*100),0,((N$5-M$5)/M$5)*100)</f>
        <v>3.3316300459887587</v>
      </c>
      <c r="T5" s="41">
        <f>IF(S$5="","",IF(S$5&gt;15,1,IF(S$5&lt;5,3,2)))</f>
        <v>3</v>
      </c>
      <c r="U5" s="41">
        <f>IF(ISERROR(P$5+R$5+T$5),"",P$5+R$5+T$5)</f>
        <v>7</v>
      </c>
      <c r="V5" s="41" t="str">
        <f>IF(U$5="","",IF(U$5&lt;=5,"RENTAN",IF(U$5&gt;7,"AMAN","WASPADA")))</f>
        <v>WASPADA</v>
      </c>
      <c r="W5" s="41" t="str">
        <f>IF(V$5="","",IF(V$5="AMAN","3",IF(V$5="RENTAN","1","2")))</f>
        <v>2</v>
      </c>
    </row>
    <row r="6" spans="1:29" ht="14.45" customHeight="1">
      <c r="A6" s="2">
        <v>623672</v>
      </c>
      <c r="B6" s="40">
        <v>2</v>
      </c>
      <c r="C6" s="39">
        <v>62367202</v>
      </c>
      <c r="D6" s="39" t="s">
        <v>32</v>
      </c>
      <c r="E6" s="39" t="s">
        <v>33</v>
      </c>
      <c r="F6" s="39" t="s">
        <v>36</v>
      </c>
      <c r="G6" s="42">
        <v>2025</v>
      </c>
      <c r="H6" s="42">
        <v>12</v>
      </c>
      <c r="I6" s="30">
        <v>14000</v>
      </c>
      <c r="J6" s="31">
        <v>13500</v>
      </c>
      <c r="K6" s="30">
        <v>18968</v>
      </c>
      <c r="L6" s="31">
        <v>22000</v>
      </c>
      <c r="M6" s="30">
        <v>29355</v>
      </c>
      <c r="N6" s="31">
        <v>30333</v>
      </c>
      <c r="O6" s="55">
        <f>IF(ISERROR(((J$6-I$6)/I$6)*100),0,((J$6-I$6)/I$6)*100)</f>
        <v>-3.5714285714285712</v>
      </c>
      <c r="P6" s="41">
        <f>IF(O$6="","",IF(O$6&gt;10,1,IF(O$6&lt;5,3,2)))</f>
        <v>3</v>
      </c>
      <c r="Q6" s="55">
        <f>IF(ISERROR(((L$6-K$6)/K$6)*100),0,((L$6-K$6)/K$6)*100)</f>
        <v>15.984816533108393</v>
      </c>
      <c r="R6" s="41">
        <f>IF(Q$6="","",IF(Q$6&gt;15,1,IF(Q$6&lt;5,3,2)))</f>
        <v>1</v>
      </c>
      <c r="S6" s="55">
        <f>IF(ISERROR(((N$6-M$6)/M$6)*100),0,((N$6-M$6)/M$6)*100)</f>
        <v>3.3316300459887587</v>
      </c>
      <c r="T6" s="41">
        <f>IF(S$6="","",IF(S$6&gt;15,1,IF(S$6&lt;5,3,2)))</f>
        <v>3</v>
      </c>
      <c r="U6" s="41">
        <f>IF(ISERROR(P$6+R$6+T$6),"",P$6+R$6+T$6)</f>
        <v>7</v>
      </c>
      <c r="V6" s="41" t="str">
        <f>IF(U$6="","",IF(U$6&lt;=5,"RENTAN",IF(U$6&gt;7,"AMAN","WASPADA")))</f>
        <v>WASPADA</v>
      </c>
      <c r="W6" s="41" t="str">
        <f>IF(V$6="","",IF(V$6="AMAN","3",IF(V$6="RENTAN","1","2")))</f>
        <v>2</v>
      </c>
    </row>
    <row r="7" spans="1:29" ht="14.45" customHeight="1">
      <c r="A7" s="2">
        <v>623672</v>
      </c>
      <c r="B7" s="40">
        <v>3</v>
      </c>
      <c r="C7" s="39">
        <v>62367203</v>
      </c>
      <c r="D7" s="39" t="s">
        <v>32</v>
      </c>
      <c r="E7" s="39" t="s">
        <v>33</v>
      </c>
      <c r="F7" s="39" t="s">
        <v>37</v>
      </c>
      <c r="G7" s="42">
        <v>2025</v>
      </c>
      <c r="H7" s="42">
        <v>12</v>
      </c>
      <c r="I7" s="30">
        <v>14000</v>
      </c>
      <c r="J7" s="31">
        <v>14000</v>
      </c>
      <c r="K7" s="30">
        <v>17194</v>
      </c>
      <c r="L7" s="31">
        <v>21000</v>
      </c>
      <c r="M7" s="30">
        <v>29323</v>
      </c>
      <c r="N7" s="31">
        <v>31310</v>
      </c>
      <c r="O7" s="55">
        <f>IF(ISERROR(((J$7-I$7)/I$7)*100),0,((J$7-I$7)/I$7)*100)</f>
        <v>0</v>
      </c>
      <c r="P7" s="41">
        <f>IF(O$7="","",IF(O$7&gt;10,1,IF(O$7&lt;5,3,2)))</f>
        <v>3</v>
      </c>
      <c r="Q7" s="55">
        <f>IF(ISERROR(((L$7-K$7)/K$7)*100),0,((L$7-K$7)/K$7)*100)</f>
        <v>22.135628707688728</v>
      </c>
      <c r="R7" s="41">
        <f>IF(Q$7="","",IF(Q$7&gt;15,1,IF(Q$7&lt;5,3,2)))</f>
        <v>1</v>
      </c>
      <c r="S7" s="55">
        <f>IF(ISERROR(((N$7-M$7)/M$7)*100),0,((N$7-M$7)/M$7)*100)</f>
        <v>6.7762507246871051</v>
      </c>
      <c r="T7" s="41">
        <f>IF(S$7="","",IF(S$7&gt;15,1,IF(S$7&lt;5,3,2)))</f>
        <v>2</v>
      </c>
      <c r="U7" s="41">
        <f>IF(ISERROR(P$7+R$7+T$7),"",P$7+R$7+T$7)</f>
        <v>6</v>
      </c>
      <c r="V7" s="41" t="str">
        <f>IF(U$7="","",IF(U$7&lt;=5,"RENTAN",IF(U$7&gt;7,"AMAN","WASPADA")))</f>
        <v>WASPADA</v>
      </c>
      <c r="W7" s="41" t="str">
        <f>IF(V$7="","",IF(V$7="AMAN","3",IF(V$7="RENTAN","1","2")))</f>
        <v>2</v>
      </c>
    </row>
    <row r="8" spans="1:29" ht="14.45" customHeight="1">
      <c r="A8" s="2">
        <v>623672</v>
      </c>
      <c r="B8" s="40">
        <v>4</v>
      </c>
      <c r="C8" s="39">
        <v>62367204</v>
      </c>
      <c r="D8" s="39" t="s">
        <v>32</v>
      </c>
      <c r="E8" s="39" t="s">
        <v>33</v>
      </c>
      <c r="F8" s="39" t="s">
        <v>38</v>
      </c>
      <c r="G8" s="42">
        <v>2025</v>
      </c>
      <c r="H8" s="42">
        <v>12</v>
      </c>
      <c r="I8" s="30">
        <v>13000</v>
      </c>
      <c r="J8" s="31">
        <v>13259</v>
      </c>
      <c r="K8" s="30">
        <v>17645</v>
      </c>
      <c r="L8" s="31">
        <v>21483</v>
      </c>
      <c r="M8" s="30">
        <v>29226</v>
      </c>
      <c r="N8" s="31">
        <v>30138</v>
      </c>
      <c r="O8" s="55">
        <f>IF(ISERROR(((J$8-I$8)/I$8)*100),0,((J$8-I$8)/I$8)*100)</f>
        <v>1.9923076923076921</v>
      </c>
      <c r="P8" s="41">
        <f>IF(O$8="","",IF(O$8&gt;10,1,IF(O$8&lt;5,3,2)))</f>
        <v>3</v>
      </c>
      <c r="Q8" s="55">
        <f>IF(ISERROR(((L$8-K$8)/K$8)*100),0,((L$8-K$8)/K$8)*100)</f>
        <v>21.751204307169168</v>
      </c>
      <c r="R8" s="41">
        <f>IF(Q$8="","",IF(Q$8&gt;15,1,IF(Q$8&lt;5,3,2)))</f>
        <v>1</v>
      </c>
      <c r="S8" s="55">
        <f>IF(ISERROR(((N$8-M$8)/M$8)*100),0,((N$8-M$8)/M$8)*100)</f>
        <v>3.1205091357010879</v>
      </c>
      <c r="T8" s="41">
        <f>IF(S$8="","",IF(S$8&gt;15,1,IF(S$8&lt;5,3,2)))</f>
        <v>3</v>
      </c>
      <c r="U8" s="41">
        <f>IF(ISERROR(P$8+R$8+T$8),"",P$8+R$8+T$8)</f>
        <v>7</v>
      </c>
      <c r="V8" s="41" t="str">
        <f>IF(U$8="","",IF(U$8&lt;=5,"RENTAN",IF(U$8&gt;7,"AMAN","WASPADA")))</f>
        <v>WASPADA</v>
      </c>
      <c r="W8" s="41" t="str">
        <f>IF(V$8="","",IF(V$8="AMAN","3",IF(V$8="RENTAN","1","2")))</f>
        <v>2</v>
      </c>
    </row>
    <row r="9" spans="1:29" ht="14.45" customHeight="1">
      <c r="A9" s="2">
        <v>623672</v>
      </c>
      <c r="B9" s="40">
        <v>5</v>
      </c>
      <c r="C9" s="39">
        <v>62367205</v>
      </c>
      <c r="D9" s="39" t="s">
        <v>32</v>
      </c>
      <c r="E9" s="39" t="s">
        <v>33</v>
      </c>
      <c r="F9" s="39" t="s">
        <v>39</v>
      </c>
      <c r="G9" s="42">
        <v>2025</v>
      </c>
      <c r="H9" s="42">
        <v>12</v>
      </c>
      <c r="I9" s="30">
        <v>13000</v>
      </c>
      <c r="J9" s="31">
        <v>13259</v>
      </c>
      <c r="K9" s="30">
        <v>17645</v>
      </c>
      <c r="L9" s="31">
        <v>21483</v>
      </c>
      <c r="M9" s="30">
        <v>29226</v>
      </c>
      <c r="N9" s="31">
        <v>30138</v>
      </c>
      <c r="O9" s="55">
        <f>IF(ISERROR(((J$9-I$9)/I$9)*100),0,((J$9-I$9)/I$9)*100)</f>
        <v>1.9923076923076921</v>
      </c>
      <c r="P9" s="41">
        <f>IF(O$9="","",IF(O$9&gt;10,1,IF(O$9&lt;5,3,2)))</f>
        <v>3</v>
      </c>
      <c r="Q9" s="55">
        <f>IF(ISERROR(((L$9-K$9)/K$9)*100),0,((L$9-K$9)/K$9)*100)</f>
        <v>21.751204307169168</v>
      </c>
      <c r="R9" s="41">
        <f>IF(Q$9="","",IF(Q$9&gt;15,1,IF(Q$9&lt;5,3,2)))</f>
        <v>1</v>
      </c>
      <c r="S9" s="55">
        <f>IF(ISERROR(((N$9-M$9)/M$9)*100),0,((N$9-M$9)/M$9)*100)</f>
        <v>3.1205091357010879</v>
      </c>
      <c r="T9" s="41">
        <f>IF(S$9="","",IF(S$9&gt;15,1,IF(S$9&lt;5,3,2)))</f>
        <v>3</v>
      </c>
      <c r="U9" s="41">
        <f>IF(ISERROR(P$9+R$9+T$9),"",P$9+R$9+T$9)</f>
        <v>7</v>
      </c>
      <c r="V9" s="41" t="str">
        <f>IF(U$9="","",IF(U$9&lt;=5,"RENTAN",IF(U$9&gt;7,"AMAN","WASPADA")))</f>
        <v>WASPADA</v>
      </c>
      <c r="W9" s="41" t="str">
        <f>IF(V$9="","",IF(V$9="AMAN","3",IF(V$9="RENTAN","1","2")))</f>
        <v>2</v>
      </c>
    </row>
    <row r="10" spans="1:29" ht="14.45" customHeight="1">
      <c r="A10" s="2">
        <v>623672</v>
      </c>
      <c r="B10" s="40">
        <v>6</v>
      </c>
      <c r="C10" s="39">
        <v>62367206</v>
      </c>
      <c r="D10" s="39" t="s">
        <v>32</v>
      </c>
      <c r="E10" s="39" t="s">
        <v>33</v>
      </c>
      <c r="F10" s="39" t="s">
        <v>40</v>
      </c>
      <c r="G10" s="42">
        <v>2025</v>
      </c>
      <c r="H10" s="42">
        <v>12</v>
      </c>
      <c r="I10" s="30">
        <v>14000</v>
      </c>
      <c r="J10" s="31">
        <v>14000</v>
      </c>
      <c r="K10" s="30">
        <v>17194</v>
      </c>
      <c r="L10" s="31">
        <v>21000</v>
      </c>
      <c r="M10" s="30">
        <v>29323</v>
      </c>
      <c r="N10" s="31">
        <v>31310</v>
      </c>
      <c r="O10" s="55">
        <f>IF(ISERROR(((J$10-I$10)/I$10)*100),0,((J$10-I$10)/I$10)*100)</f>
        <v>0</v>
      </c>
      <c r="P10" s="41">
        <f>IF(O$10="","",IF(O$10&gt;10,1,IF(O$10&lt;5,3,2)))</f>
        <v>3</v>
      </c>
      <c r="Q10" s="55">
        <f>IF(ISERROR(((L$10-K$10)/K$10)*100),0,((L$10-K$10)/K$10)*100)</f>
        <v>22.135628707688728</v>
      </c>
      <c r="R10" s="41">
        <f>IF(Q$10="","",IF(Q$10&gt;15,1,IF(Q$10&lt;5,3,2)))</f>
        <v>1</v>
      </c>
      <c r="S10" s="55">
        <f>IF(ISERROR(((N$10-M$10)/M$10)*100),0,((N$10-M$10)/M$10)*100)</f>
        <v>6.7762507246871051</v>
      </c>
      <c r="T10" s="41">
        <f>IF(S$10="","",IF(S$10&gt;15,1,IF(S$10&lt;5,3,2)))</f>
        <v>2</v>
      </c>
      <c r="U10" s="41">
        <f>IF(ISERROR(P$10+R$10+T$10),"",P$10+R$10+T$10)</f>
        <v>6</v>
      </c>
      <c r="V10" s="41" t="str">
        <f>IF(U$10="","",IF(U$10&lt;=5,"RENTAN",IF(U$10&gt;7,"AMAN","WASPADA")))</f>
        <v>WASPADA</v>
      </c>
      <c r="W10" s="41" t="str">
        <f>IF(V$10="","",IF(V$10="AMAN","3",IF(V$10="RENTAN","1","2")))</f>
        <v>2</v>
      </c>
    </row>
    <row r="11" spans="1:29" ht="14.45" customHeight="1">
      <c r="A11" s="2">
        <v>623672</v>
      </c>
      <c r="B11" s="40">
        <v>7</v>
      </c>
      <c r="C11" s="39">
        <v>62367207</v>
      </c>
      <c r="D11" s="39" t="s">
        <v>32</v>
      </c>
      <c r="E11" s="39" t="s">
        <v>33</v>
      </c>
      <c r="F11" s="39" t="s">
        <v>41</v>
      </c>
      <c r="G11" s="42">
        <v>2025</v>
      </c>
      <c r="H11" s="42">
        <v>12</v>
      </c>
      <c r="I11" s="30">
        <v>13000</v>
      </c>
      <c r="J11" s="31">
        <v>13259</v>
      </c>
      <c r="K11" s="30">
        <v>17645</v>
      </c>
      <c r="L11" s="31">
        <v>21483</v>
      </c>
      <c r="M11" s="30">
        <v>29226</v>
      </c>
      <c r="N11" s="31">
        <v>30138</v>
      </c>
      <c r="O11" s="55">
        <f>IF(ISERROR(((J$11-I$11)/I$11)*100),0,((J$11-I$11)/I$11)*100)</f>
        <v>1.9923076923076921</v>
      </c>
      <c r="P11" s="41">
        <f>IF(O$11="","",IF(O$11&gt;10,1,IF(O$11&lt;5,3,2)))</f>
        <v>3</v>
      </c>
      <c r="Q11" s="55">
        <f>IF(ISERROR(((L$11-K$11)/K$11)*100),0,((L$11-K$11)/K$11)*100)</f>
        <v>21.751204307169168</v>
      </c>
      <c r="R11" s="41">
        <f>IF(Q$11="","",IF(Q$11&gt;15,1,IF(Q$11&lt;5,3,2)))</f>
        <v>1</v>
      </c>
      <c r="S11" s="55">
        <f>IF(ISERROR(((N$11-M$11)/M$11)*100),0,((N$11-M$11)/M$11)*100)</f>
        <v>3.1205091357010879</v>
      </c>
      <c r="T11" s="41">
        <f>IF(S$11="","",IF(S$11&gt;15,1,IF(S$11&lt;5,3,2)))</f>
        <v>3</v>
      </c>
      <c r="U11" s="41">
        <f>IF(ISERROR(P$11+R$11+T$11),"",P$11+R$11+T$11)</f>
        <v>7</v>
      </c>
      <c r="V11" s="41" t="str">
        <f>IF(U$11="","",IF(U$11&lt;=5,"RENTAN",IF(U$11&gt;7,"AMAN","WASPADA")))</f>
        <v>WASPADA</v>
      </c>
      <c r="W11" s="41" t="str">
        <f>IF(V$11="","",IF(V$11="AMAN","3",IF(V$11="RENTAN","1","2")))</f>
        <v>2</v>
      </c>
    </row>
    <row r="12" spans="1:29" ht="14.45" customHeight="1">
      <c r="A12" s="2">
        <v>623672</v>
      </c>
      <c r="B12" s="40">
        <v>8</v>
      </c>
      <c r="C12" s="39">
        <v>62367208</v>
      </c>
      <c r="D12" s="39" t="s">
        <v>32</v>
      </c>
      <c r="E12" s="39" t="s">
        <v>33</v>
      </c>
      <c r="F12" s="39" t="s">
        <v>42</v>
      </c>
      <c r="G12" s="42">
        <v>2025</v>
      </c>
      <c r="H12" s="42">
        <v>12</v>
      </c>
      <c r="I12" s="30">
        <v>13000</v>
      </c>
      <c r="J12" s="31">
        <v>13259</v>
      </c>
      <c r="K12" s="30">
        <v>17645</v>
      </c>
      <c r="L12" s="31">
        <v>21483</v>
      </c>
      <c r="M12" s="30">
        <v>29226</v>
      </c>
      <c r="N12" s="31">
        <v>30138</v>
      </c>
      <c r="O12" s="55">
        <f>IF(ISERROR(((J$12-I$12)/I$12)*100),0,((J$12-I$12)/I$12)*100)</f>
        <v>1.9923076923076921</v>
      </c>
      <c r="P12" s="41">
        <f>IF(O$12="","",IF(O$12&gt;10,1,IF(O$12&lt;5,3,2)))</f>
        <v>3</v>
      </c>
      <c r="Q12" s="55">
        <f>IF(ISERROR(((L$12-K$12)/K$12)*100),0,((L$12-K$12)/K$12)*100)</f>
        <v>21.751204307169168</v>
      </c>
      <c r="R12" s="41">
        <f>IF(Q$12="","",IF(Q$12&gt;15,1,IF(Q$12&lt;5,3,2)))</f>
        <v>1</v>
      </c>
      <c r="S12" s="55">
        <f>IF(ISERROR(((N$12-M$12)/M$12)*100),0,((N$12-M$12)/M$12)*100)</f>
        <v>3.1205091357010879</v>
      </c>
      <c r="T12" s="41">
        <f>IF(S$12="","",IF(S$12&gt;15,1,IF(S$12&lt;5,3,2)))</f>
        <v>3</v>
      </c>
      <c r="U12" s="41">
        <f>IF(ISERROR(P$12+R$12+T$12),"",P$12+R$12+T$12)</f>
        <v>7</v>
      </c>
      <c r="V12" s="41" t="str">
        <f>IF(U$12="","",IF(U$12&lt;=5,"RENTAN",IF(U$12&gt;7,"AMAN","WASPADA")))</f>
        <v>WASPADA</v>
      </c>
      <c r="W12" s="41" t="str">
        <f>IF(V$12="","",IF(V$12="AMAN","3",IF(V$12="RENTAN","1","2")))</f>
        <v>2</v>
      </c>
    </row>
    <row r="13" spans="1:29">
      <c r="A13" s="10"/>
      <c r="B13" s="50"/>
      <c r="C13" s="51"/>
      <c r="D13" s="51"/>
      <c r="E13" s="51" t="str">
        <f>E12</f>
        <v>Kota Cilegon</v>
      </c>
      <c r="F13" s="51"/>
      <c r="G13" s="51">
        <f>$G$5</f>
        <v>2025</v>
      </c>
      <c r="H13" s="51">
        <f>$H$5</f>
        <v>12</v>
      </c>
      <c r="I13" s="52">
        <f t="shared" ref="I13:N13" si="1">IFERROR(AVERAGE(I5:I12),"")</f>
        <v>13500</v>
      </c>
      <c r="J13" s="52">
        <f t="shared" si="1"/>
        <v>13504.5</v>
      </c>
      <c r="K13" s="52">
        <f t="shared" si="1"/>
        <v>17863</v>
      </c>
      <c r="L13" s="52">
        <f t="shared" si="1"/>
        <v>21491.5</v>
      </c>
      <c r="M13" s="52">
        <f t="shared" si="1"/>
        <v>29282.5</v>
      </c>
      <c r="N13" s="52">
        <f t="shared" si="1"/>
        <v>30479.75</v>
      </c>
      <c r="O13" s="53">
        <f>IF(ISERROR(((J13-I13)/I13)*100),0,((J13-I13)/I13)*100)</f>
        <v>3.3333333333333333E-2</v>
      </c>
      <c r="P13" s="54">
        <f>IF(O13="","",IF(O13&gt;10,1,IF(O13&lt;5,3,2)))</f>
        <v>3</v>
      </c>
      <c r="Q13" s="53">
        <f>IF(ISERROR(((L13-K13)/K13)*100),0,((L13-K13)/K13)*100)</f>
        <v>20.312937356547053</v>
      </c>
      <c r="R13" s="54">
        <f>IF(Q13="","",IF(Q13&gt;15,1,IF(Q13&lt;5,3,2)))</f>
        <v>1</v>
      </c>
      <c r="S13" s="53">
        <f>IF(ISERROR(((N13-M13)/M13)*100),0,((N13-M13)/M13)*100)</f>
        <v>4.0886194826261422</v>
      </c>
      <c r="T13" s="54">
        <f>IF(S13="","",IF(S13&gt;15,1,IF(S13&lt;5,3,2)))</f>
        <v>3</v>
      </c>
      <c r="U13" s="54">
        <f>IF(ISERROR(P13+R13+T13),"",P13+R13+T13)</f>
        <v>7</v>
      </c>
      <c r="V13" s="54" t="str">
        <f>IF(U13="","",IF(U13&lt;=5,"RENTAN",IF(U13&gt;7,"AMAN","WASPADA")))</f>
        <v>WASPADA</v>
      </c>
      <c r="W13" s="54" t="str">
        <f>IF(V13="","",IF(V13="AMAN","3",IF(V13="RENTAN","1","2")))</f>
        <v>2</v>
      </c>
    </row>
    <row r="14" spans="1:29">
      <c r="J14" s="27"/>
    </row>
    <row r="15" spans="1:29">
      <c r="J15" s="27"/>
    </row>
    <row r="16" spans="1:29">
      <c r="J16" s="27"/>
    </row>
    <row r="17" spans="10:10">
      <c r="J17" s="27"/>
    </row>
    <row r="18" spans="10:10">
      <c r="J18" s="27"/>
    </row>
    <row r="19" spans="10:10">
      <c r="J19" s="27"/>
    </row>
    <row r="20" spans="10:10">
      <c r="J20" s="27"/>
    </row>
    <row r="21" spans="10:10">
      <c r="J21" s="27"/>
    </row>
    <row r="22" spans="10:10">
      <c r="J22" s="27"/>
    </row>
    <row r="23" spans="10:10">
      <c r="J23" s="27"/>
    </row>
    <row r="24" spans="10:10">
      <c r="J24" s="27"/>
    </row>
    <row r="25" spans="10:10">
      <c r="J25" s="27"/>
    </row>
    <row r="26" spans="10:10">
      <c r="J26" s="27"/>
    </row>
    <row r="27" spans="10:10">
      <c r="J27" s="27"/>
    </row>
    <row r="28" spans="10:10">
      <c r="J28" s="27"/>
    </row>
    <row r="29" spans="10:10">
      <c r="J29" s="27"/>
    </row>
    <row r="30" spans="10:10">
      <c r="J30" s="27"/>
    </row>
    <row r="31" spans="10:10">
      <c r="J31" s="27"/>
    </row>
    <row r="32" spans="10:10">
      <c r="J32" s="27"/>
    </row>
    <row r="33" spans="10:10">
      <c r="J33" s="27"/>
    </row>
    <row r="34" spans="10:10">
      <c r="J34" s="27"/>
    </row>
    <row r="35" spans="10:10">
      <c r="J35" s="27"/>
    </row>
    <row r="36" spans="10:10">
      <c r="J36" s="27"/>
    </row>
    <row r="37" spans="10:10">
      <c r="J37" s="27"/>
    </row>
    <row r="38" spans="10:10">
      <c r="J38" s="27"/>
    </row>
    <row r="39" spans="10:10">
      <c r="J39" s="27"/>
    </row>
    <row r="40" spans="10:10">
      <c r="J40" s="27"/>
    </row>
    <row r="41" spans="10:10">
      <c r="J41" s="27"/>
    </row>
    <row r="42" spans="10:10">
      <c r="J42" s="27"/>
    </row>
    <row r="43" spans="10:10">
      <c r="J43" s="27"/>
    </row>
    <row r="44" spans="10:10">
      <c r="J44" s="27"/>
    </row>
    <row r="45" spans="10:10">
      <c r="J45" s="27"/>
    </row>
    <row r="46" spans="10:10">
      <c r="J46" s="27"/>
    </row>
    <row r="47" spans="10:10">
      <c r="J47" s="27"/>
    </row>
    <row r="48" spans="10:10">
      <c r="J48" s="27"/>
    </row>
    <row r="49" spans="10:10">
      <c r="J49" s="27"/>
    </row>
    <row r="50" spans="10:10">
      <c r="J50" s="27"/>
    </row>
    <row r="51" spans="10:10">
      <c r="J51" s="27"/>
    </row>
    <row r="52" spans="10:10">
      <c r="J52" s="27"/>
    </row>
    <row r="53" spans="10:10">
      <c r="J53" s="27"/>
    </row>
    <row r="54" spans="10:10">
      <c r="J54" s="27"/>
    </row>
    <row r="55" spans="10:10">
      <c r="J55" s="27"/>
    </row>
    <row r="56" spans="10:10">
      <c r="J56" s="27"/>
    </row>
    <row r="57" spans="10:10">
      <c r="J57" s="27"/>
    </row>
    <row r="58" spans="10:10">
      <c r="J58" s="27"/>
    </row>
    <row r="59" spans="10:10">
      <c r="J59" s="27"/>
    </row>
    <row r="60" spans="10:10">
      <c r="J60" s="27"/>
    </row>
    <row r="61" spans="10:10">
      <c r="J61" s="27"/>
    </row>
    <row r="62" spans="10:10">
      <c r="J62" s="27"/>
    </row>
    <row r="63" spans="10:10">
      <c r="J63" s="27"/>
    </row>
    <row r="64" spans="10:10">
      <c r="J64" s="27"/>
    </row>
    <row r="65" spans="10:10">
      <c r="J65" s="27"/>
    </row>
    <row r="66" spans="10:10">
      <c r="J66" s="27"/>
    </row>
    <row r="67" spans="10:10">
      <c r="J67" s="27"/>
    </row>
    <row r="68" spans="10:10">
      <c r="J68" s="27"/>
    </row>
    <row r="69" spans="10:10">
      <c r="J69" s="27"/>
    </row>
    <row r="70" spans="10:10">
      <c r="J70" s="27"/>
    </row>
    <row r="71" spans="10:10">
      <c r="J71" s="27"/>
    </row>
    <row r="72" spans="10:10">
      <c r="J72" s="27"/>
    </row>
    <row r="73" spans="10:10">
      <c r="J73" s="27"/>
    </row>
    <row r="74" spans="10:10">
      <c r="J74" s="27"/>
    </row>
    <row r="75" spans="10:10">
      <c r="J75" s="27"/>
    </row>
    <row r="76" spans="10:10">
      <c r="J76" s="27"/>
    </row>
    <row r="77" spans="10:10">
      <c r="J77" s="27"/>
    </row>
    <row r="78" spans="10:10">
      <c r="J78" s="27"/>
    </row>
    <row r="79" spans="10:10">
      <c r="J79" s="27"/>
    </row>
    <row r="80" spans="10:10">
      <c r="J80" s="27"/>
    </row>
    <row r="81" spans="10:10">
      <c r="J81" s="27"/>
    </row>
    <row r="82" spans="10:10">
      <c r="J82" s="27"/>
    </row>
    <row r="83" spans="10:10">
      <c r="J83" s="27"/>
    </row>
    <row r="84" spans="10:10">
      <c r="J84" s="27"/>
    </row>
    <row r="85" spans="10:10">
      <c r="J85" s="27"/>
    </row>
    <row r="86" spans="10:10">
      <c r="J86" s="27"/>
    </row>
    <row r="87" spans="10:10">
      <c r="J87" s="27"/>
    </row>
    <row r="88" spans="10:10">
      <c r="J88" s="27"/>
    </row>
    <row r="89" spans="10:10">
      <c r="J89" s="27"/>
    </row>
    <row r="90" spans="10:10">
      <c r="J90" s="27"/>
    </row>
    <row r="91" spans="10:10">
      <c r="J91" s="27"/>
    </row>
    <row r="92" spans="10:10">
      <c r="J92" s="27"/>
    </row>
    <row r="93" spans="10:10">
      <c r="J93" s="27"/>
    </row>
    <row r="94" spans="10:10">
      <c r="J94" s="27"/>
    </row>
    <row r="95" spans="10:10">
      <c r="J95" s="27"/>
    </row>
    <row r="96" spans="10:10">
      <c r="J96" s="27"/>
    </row>
    <row r="97" spans="10:10">
      <c r="J97" s="27"/>
    </row>
    <row r="98" spans="10:10">
      <c r="J98" s="27"/>
    </row>
    <row r="99" spans="10:10">
      <c r="J99" s="27"/>
    </row>
    <row r="100" spans="10:10">
      <c r="J100" s="27"/>
    </row>
    <row r="101" spans="10:10">
      <c r="J101" s="27"/>
    </row>
    <row r="102" spans="10:10">
      <c r="J102" s="27"/>
    </row>
    <row r="103" spans="10:10">
      <c r="J103" s="27"/>
    </row>
    <row r="104" spans="10:10">
      <c r="J104" s="27"/>
    </row>
    <row r="105" spans="10:10">
      <c r="J105" s="27"/>
    </row>
    <row r="106" spans="10:10">
      <c r="J106" s="27"/>
    </row>
    <row r="107" spans="10:10">
      <c r="J107" s="27"/>
    </row>
    <row r="108" spans="10:10">
      <c r="J108" s="27"/>
    </row>
    <row r="109" spans="10:10">
      <c r="J109" s="27"/>
    </row>
    <row r="110" spans="10:10">
      <c r="J110" s="27"/>
    </row>
    <row r="111" spans="10:10">
      <c r="J111" s="27"/>
    </row>
    <row r="112" spans="10:10">
      <c r="J112" s="27"/>
    </row>
    <row r="113" spans="10:10">
      <c r="J113" s="27"/>
    </row>
    <row r="114" spans="10:10">
      <c r="J114" s="27"/>
    </row>
    <row r="115" spans="10:10">
      <c r="J115" s="27"/>
    </row>
    <row r="116" spans="10:10">
      <c r="J116" s="27"/>
    </row>
    <row r="117" spans="10:10">
      <c r="J117" s="27"/>
    </row>
    <row r="118" spans="10:10">
      <c r="J118" s="27"/>
    </row>
    <row r="119" spans="10:10">
      <c r="J119" s="27"/>
    </row>
    <row r="120" spans="10:10">
      <c r="J120" s="27"/>
    </row>
    <row r="121" spans="10:10">
      <c r="J121" s="27"/>
    </row>
    <row r="122" spans="10:10">
      <c r="J122" s="27"/>
    </row>
    <row r="123" spans="10:10">
      <c r="J123" s="27"/>
    </row>
    <row r="124" spans="10:10">
      <c r="J124" s="27"/>
    </row>
    <row r="125" spans="10:10">
      <c r="J125" s="27"/>
    </row>
    <row r="126" spans="10:10">
      <c r="J126" s="27"/>
    </row>
    <row r="127" spans="10:10">
      <c r="J127" s="27"/>
    </row>
    <row r="128" spans="10:10">
      <c r="J128" s="27"/>
    </row>
    <row r="129" spans="10:10">
      <c r="J129" s="27"/>
    </row>
    <row r="130" spans="10:10">
      <c r="J130" s="27"/>
    </row>
    <row r="131" spans="10:10">
      <c r="J131" s="27"/>
    </row>
    <row r="132" spans="10:10">
      <c r="J132" s="27"/>
    </row>
    <row r="133" spans="10:10">
      <c r="J133" s="27"/>
    </row>
    <row r="134" spans="10:10">
      <c r="J134" s="27"/>
    </row>
    <row r="135" spans="10:10">
      <c r="J135" s="27"/>
    </row>
    <row r="136" spans="10:10">
      <c r="J136" s="27"/>
    </row>
    <row r="137" spans="10:10">
      <c r="J137" s="27"/>
    </row>
    <row r="138" spans="10:10">
      <c r="J138" s="27"/>
    </row>
    <row r="139" spans="10:10">
      <c r="J139" s="27"/>
    </row>
    <row r="140" spans="10:10">
      <c r="J140" s="27"/>
    </row>
    <row r="141" spans="10:10">
      <c r="J141" s="27"/>
    </row>
    <row r="142" spans="10:10">
      <c r="J142" s="27"/>
    </row>
    <row r="143" spans="10:10">
      <c r="J143" s="27"/>
    </row>
    <row r="144" spans="10:10">
      <c r="J144" s="27"/>
    </row>
    <row r="145" spans="10:10">
      <c r="J145" s="27"/>
    </row>
    <row r="146" spans="10:10">
      <c r="J146" s="27"/>
    </row>
    <row r="147" spans="10:10">
      <c r="J147" s="27"/>
    </row>
    <row r="148" spans="10:10">
      <c r="J148" s="27"/>
    </row>
    <row r="149" spans="10:10">
      <c r="J149" s="27"/>
    </row>
    <row r="150" spans="10:10">
      <c r="J150" s="27"/>
    </row>
    <row r="151" spans="10:10">
      <c r="J151" s="27"/>
    </row>
    <row r="152" spans="10:10">
      <c r="J152" s="27"/>
    </row>
    <row r="153" spans="10:10">
      <c r="J153" s="27"/>
    </row>
    <row r="154" spans="10:10">
      <c r="J154" s="27"/>
    </row>
    <row r="155" spans="10:10">
      <c r="J155" s="27"/>
    </row>
    <row r="156" spans="10:10">
      <c r="J156" s="27"/>
    </row>
    <row r="157" spans="10:10">
      <c r="J157" s="27"/>
    </row>
    <row r="158" spans="10:10">
      <c r="J158" s="27"/>
    </row>
    <row r="159" spans="10:10">
      <c r="J159" s="27"/>
    </row>
    <row r="160" spans="10:10">
      <c r="J160" s="27"/>
    </row>
    <row r="161" spans="10:10">
      <c r="J161" s="27"/>
    </row>
    <row r="162" spans="10:10">
      <c r="J162" s="27"/>
    </row>
    <row r="163" spans="10:10">
      <c r="J163" s="27"/>
    </row>
    <row r="164" spans="10:10">
      <c r="J164" s="27"/>
    </row>
    <row r="165" spans="10:10">
      <c r="J165" s="27"/>
    </row>
    <row r="166" spans="10:10">
      <c r="J166" s="27"/>
    </row>
    <row r="167" spans="10:10">
      <c r="J167" s="27"/>
    </row>
    <row r="168" spans="10:10">
      <c r="J168" s="27"/>
    </row>
    <row r="169" spans="10:10">
      <c r="J169" s="27"/>
    </row>
    <row r="170" spans="10:10">
      <c r="J170" s="27"/>
    </row>
    <row r="171" spans="10:10">
      <c r="J171" s="27"/>
    </row>
    <row r="172" spans="10:10">
      <c r="J172" s="27"/>
    </row>
    <row r="173" spans="10:10">
      <c r="J173" s="27"/>
    </row>
    <row r="174" spans="10:10">
      <c r="J174" s="27"/>
    </row>
    <row r="175" spans="10:10">
      <c r="J175" s="27"/>
    </row>
    <row r="176" spans="10:10">
      <c r="J176" s="27"/>
    </row>
    <row r="177" spans="10:10">
      <c r="J177" s="27"/>
    </row>
    <row r="178" spans="10:10">
      <c r="J178" s="27"/>
    </row>
    <row r="179" spans="10:10">
      <c r="J179" s="27"/>
    </row>
    <row r="180" spans="10:10">
      <c r="J180" s="27"/>
    </row>
    <row r="181" spans="10:10">
      <c r="J181" s="27"/>
    </row>
    <row r="182" spans="10:10">
      <c r="J182" s="27"/>
    </row>
    <row r="183" spans="10:10">
      <c r="J183" s="27"/>
    </row>
    <row r="184" spans="10:10">
      <c r="J184" s="27"/>
    </row>
    <row r="185" spans="10:10">
      <c r="J185" s="27"/>
    </row>
    <row r="186" spans="10:10">
      <c r="J186" s="27"/>
    </row>
    <row r="187" spans="10:10">
      <c r="J187" s="27"/>
    </row>
    <row r="188" spans="10:10">
      <c r="J188" s="27"/>
    </row>
    <row r="189" spans="10:10">
      <c r="J189" s="27"/>
    </row>
    <row r="190" spans="10:10">
      <c r="J190" s="27"/>
    </row>
    <row r="191" spans="10:10">
      <c r="J191" s="27"/>
    </row>
    <row r="192" spans="10:10">
      <c r="J192" s="27"/>
    </row>
    <row r="193" spans="10:10">
      <c r="J193" s="27"/>
    </row>
    <row r="194" spans="10:10">
      <c r="J194" s="27"/>
    </row>
    <row r="195" spans="10:10">
      <c r="J195" s="27"/>
    </row>
    <row r="196" spans="10:10">
      <c r="J196" s="27"/>
    </row>
    <row r="197" spans="10:10">
      <c r="J197" s="27"/>
    </row>
    <row r="198" spans="10:10">
      <c r="J198" s="27"/>
    </row>
    <row r="199" spans="10:10">
      <c r="J199" s="27"/>
    </row>
    <row r="200" spans="10:10">
      <c r="J200" s="27"/>
    </row>
    <row r="201" spans="10:10">
      <c r="J201" s="27"/>
    </row>
    <row r="202" spans="10:10">
      <c r="J202" s="27"/>
    </row>
    <row r="203" spans="10:10">
      <c r="J203" s="27"/>
    </row>
    <row r="204" spans="10:10">
      <c r="J204" s="27"/>
    </row>
    <row r="205" spans="10:10">
      <c r="J205" s="27"/>
    </row>
    <row r="206" spans="10:10">
      <c r="J206" s="27"/>
    </row>
    <row r="207" spans="10:10">
      <c r="J207" s="27"/>
    </row>
    <row r="208" spans="10:10">
      <c r="J208" s="27"/>
    </row>
    <row r="209" spans="10:10">
      <c r="J209" s="27"/>
    </row>
    <row r="210" spans="10:10">
      <c r="J210" s="27"/>
    </row>
    <row r="211" spans="10:10">
      <c r="J211" s="27"/>
    </row>
    <row r="212" spans="10:10">
      <c r="J212" s="27"/>
    </row>
    <row r="213" spans="10:10">
      <c r="J213" s="27"/>
    </row>
    <row r="214" spans="10:10">
      <c r="J214" s="27"/>
    </row>
    <row r="215" spans="10:10">
      <c r="J215" s="27"/>
    </row>
    <row r="216" spans="10:10">
      <c r="J216" s="27"/>
    </row>
    <row r="217" spans="10:10">
      <c r="J217" s="27"/>
    </row>
    <row r="218" spans="10:10">
      <c r="J218" s="27"/>
    </row>
    <row r="219" spans="10:10">
      <c r="J219" s="27"/>
    </row>
    <row r="220" spans="10:10">
      <c r="J220" s="27"/>
    </row>
    <row r="221" spans="10:10">
      <c r="J221" s="27"/>
    </row>
    <row r="222" spans="10:10">
      <c r="J222" s="27"/>
    </row>
    <row r="223" spans="10:10">
      <c r="J223" s="27"/>
    </row>
    <row r="224" spans="10:10">
      <c r="J224" s="27"/>
    </row>
    <row r="225" spans="10:10">
      <c r="J225" s="27"/>
    </row>
    <row r="226" spans="10:10">
      <c r="J226" s="27"/>
    </row>
    <row r="227" spans="10:10">
      <c r="J227" s="27"/>
    </row>
    <row r="228" spans="10:10">
      <c r="J228" s="27"/>
    </row>
    <row r="229" spans="10:10">
      <c r="J229" s="27"/>
    </row>
    <row r="230" spans="10:10">
      <c r="J230" s="27"/>
    </row>
    <row r="231" spans="10:10">
      <c r="J231" s="27"/>
    </row>
    <row r="232" spans="10:10">
      <c r="J232" s="27"/>
    </row>
    <row r="233" spans="10:10">
      <c r="J233" s="27"/>
    </row>
    <row r="234" spans="10:10">
      <c r="J234" s="27"/>
    </row>
    <row r="235" spans="10:10">
      <c r="J235" s="27"/>
    </row>
    <row r="236" spans="10:10">
      <c r="J236" s="27"/>
    </row>
    <row r="237" spans="10:10">
      <c r="J237" s="27"/>
    </row>
    <row r="238" spans="10:10">
      <c r="J238" s="27"/>
    </row>
    <row r="239" spans="10:10">
      <c r="J239" s="27"/>
    </row>
    <row r="240" spans="10:10">
      <c r="J240" s="27"/>
    </row>
    <row r="241" spans="10:10">
      <c r="J241" s="27"/>
    </row>
    <row r="242" spans="10:10">
      <c r="J242" s="27"/>
    </row>
    <row r="243" spans="10:10">
      <c r="J243" s="27"/>
    </row>
    <row r="244" spans="10:10">
      <c r="J244" s="27"/>
    </row>
    <row r="245" spans="10:10">
      <c r="J245" s="27"/>
    </row>
    <row r="246" spans="10:10">
      <c r="J246" s="27"/>
    </row>
    <row r="247" spans="10:10">
      <c r="J247" s="27"/>
    </row>
    <row r="248" spans="10:10">
      <c r="J248" s="27"/>
    </row>
    <row r="249" spans="10:10">
      <c r="J249" s="27"/>
    </row>
    <row r="250" spans="10:10">
      <c r="J250" s="27"/>
    </row>
    <row r="251" spans="10:10">
      <c r="J251" s="27"/>
    </row>
    <row r="252" spans="10:10">
      <c r="J252" s="27"/>
    </row>
    <row r="253" spans="10:10">
      <c r="J253" s="27"/>
    </row>
    <row r="254" spans="10:10">
      <c r="J254" s="27"/>
    </row>
    <row r="255" spans="10:10">
      <c r="J255" s="27"/>
    </row>
    <row r="256" spans="10:10">
      <c r="J256" s="27"/>
    </row>
    <row r="257" spans="10:10">
      <c r="J257" s="27"/>
    </row>
    <row r="258" spans="10:10">
      <c r="J258" s="27"/>
    </row>
    <row r="259" spans="10:10">
      <c r="J259" s="27"/>
    </row>
    <row r="260" spans="10:10">
      <c r="J260" s="27"/>
    </row>
    <row r="261" spans="10:10">
      <c r="J261" s="27"/>
    </row>
    <row r="262" spans="10:10">
      <c r="J262" s="27"/>
    </row>
    <row r="263" spans="10:10">
      <c r="J263" s="27"/>
    </row>
    <row r="264" spans="10:10">
      <c r="J264" s="27"/>
    </row>
    <row r="265" spans="10:10">
      <c r="J265" s="27"/>
    </row>
    <row r="266" spans="10:10">
      <c r="J266" s="27"/>
    </row>
    <row r="267" spans="10:10">
      <c r="J267" s="27"/>
    </row>
    <row r="268" spans="10:10">
      <c r="J268" s="27"/>
    </row>
    <row r="269" spans="10:10">
      <c r="J269" s="27"/>
    </row>
    <row r="270" spans="10:10">
      <c r="J270" s="27"/>
    </row>
    <row r="271" spans="10:10">
      <c r="J271" s="27"/>
    </row>
    <row r="272" spans="10:10">
      <c r="J272" s="27"/>
    </row>
    <row r="273" spans="10:10">
      <c r="J273" s="27"/>
    </row>
    <row r="274" spans="10:10">
      <c r="J274" s="27"/>
    </row>
    <row r="275" spans="10:10">
      <c r="J275" s="27"/>
    </row>
    <row r="276" spans="10:10">
      <c r="J276" s="27"/>
    </row>
    <row r="277" spans="10:10">
      <c r="J277" s="27"/>
    </row>
    <row r="278" spans="10:10">
      <c r="J278" s="27"/>
    </row>
    <row r="279" spans="10:10">
      <c r="J279" s="27"/>
    </row>
    <row r="280" spans="10:10">
      <c r="J280" s="27"/>
    </row>
    <row r="281" spans="10:10">
      <c r="J281" s="27"/>
    </row>
    <row r="282" spans="10:10">
      <c r="J282" s="27"/>
    </row>
    <row r="283" spans="10:10">
      <c r="J283" s="27"/>
    </row>
    <row r="284" spans="10:10">
      <c r="J284" s="27"/>
    </row>
    <row r="285" spans="10:10">
      <c r="J285" s="27"/>
    </row>
    <row r="286" spans="10:10">
      <c r="J286" s="27"/>
    </row>
    <row r="287" spans="10:10">
      <c r="J287" s="27"/>
    </row>
    <row r="288" spans="10:10">
      <c r="J288" s="27"/>
    </row>
    <row r="289" spans="10:10">
      <c r="J289" s="27"/>
    </row>
    <row r="290" spans="10:10">
      <c r="J290" s="27"/>
    </row>
    <row r="291" spans="10:10">
      <c r="J291" s="27"/>
    </row>
    <row r="292" spans="10:10">
      <c r="J292" s="27"/>
    </row>
    <row r="293" spans="10:10">
      <c r="J293" s="27"/>
    </row>
    <row r="294" spans="10:10">
      <c r="J294" s="27"/>
    </row>
    <row r="295" spans="10:10">
      <c r="J295" s="27"/>
    </row>
    <row r="296" spans="10:10">
      <c r="J296" s="27"/>
    </row>
    <row r="297" spans="10:10">
      <c r="J297" s="27"/>
    </row>
    <row r="298" spans="10:10">
      <c r="J298" s="27"/>
    </row>
    <row r="299" spans="10:10">
      <c r="J299" s="27"/>
    </row>
    <row r="300" spans="10:10">
      <c r="J300" s="27"/>
    </row>
    <row r="301" spans="10:10">
      <c r="J301" s="27"/>
    </row>
    <row r="302" spans="10:10">
      <c r="J302" s="27"/>
    </row>
    <row r="303" spans="10:10">
      <c r="J303" s="27"/>
    </row>
    <row r="304" spans="10:10">
      <c r="J304" s="27"/>
    </row>
    <row r="305" spans="10:10">
      <c r="J305" s="27"/>
    </row>
    <row r="306" spans="10:10">
      <c r="J306" s="27"/>
    </row>
    <row r="307" spans="10:10">
      <c r="J307" s="27"/>
    </row>
    <row r="308" spans="10:10">
      <c r="J308" s="27"/>
    </row>
    <row r="309" spans="10:10">
      <c r="J309" s="27"/>
    </row>
    <row r="310" spans="10:10">
      <c r="J310" s="27"/>
    </row>
    <row r="311" spans="10:10">
      <c r="J311" s="27"/>
    </row>
    <row r="312" spans="10:10">
      <c r="J312" s="27"/>
    </row>
    <row r="313" spans="10:10">
      <c r="J313" s="27"/>
    </row>
    <row r="314" spans="10:10">
      <c r="J314" s="27"/>
    </row>
    <row r="315" spans="10:10">
      <c r="J315" s="27"/>
    </row>
    <row r="316" spans="10:10">
      <c r="J316" s="27"/>
    </row>
    <row r="317" spans="10:10">
      <c r="J317" s="27"/>
    </row>
    <row r="318" spans="10:10">
      <c r="J318" s="27"/>
    </row>
    <row r="319" spans="10:10">
      <c r="J319" s="27"/>
    </row>
    <row r="320" spans="10:10">
      <c r="J320" s="27"/>
    </row>
    <row r="321" spans="10:10">
      <c r="J321" s="27"/>
    </row>
    <row r="322" spans="10:10">
      <c r="J322" s="27"/>
    </row>
    <row r="323" spans="10:10">
      <c r="J323" s="27"/>
    </row>
    <row r="324" spans="10:10">
      <c r="J324" s="27"/>
    </row>
    <row r="325" spans="10:10">
      <c r="J325" s="27"/>
    </row>
    <row r="326" spans="10:10">
      <c r="J326" s="27"/>
    </row>
    <row r="327" spans="10:10">
      <c r="J327" s="27"/>
    </row>
    <row r="328" spans="10:10">
      <c r="J328" s="27"/>
    </row>
    <row r="329" spans="10:10">
      <c r="J329" s="27"/>
    </row>
    <row r="330" spans="10:10">
      <c r="J330" s="27"/>
    </row>
    <row r="331" spans="10:10">
      <c r="J331" s="27"/>
    </row>
    <row r="332" spans="10:10">
      <c r="J332" s="27"/>
    </row>
    <row r="333" spans="10:10">
      <c r="J333" s="27"/>
    </row>
    <row r="334" spans="10:10">
      <c r="J334" s="27"/>
    </row>
    <row r="335" spans="10:10">
      <c r="J335" s="27"/>
    </row>
    <row r="336" spans="10:10">
      <c r="J336" s="27"/>
    </row>
    <row r="337" spans="10:10">
      <c r="J337" s="27"/>
    </row>
    <row r="338" spans="10:10">
      <c r="J338" s="27"/>
    </row>
    <row r="339" spans="10:10">
      <c r="J339" s="27"/>
    </row>
    <row r="340" spans="10:10">
      <c r="J340" s="27"/>
    </row>
    <row r="341" spans="10:10">
      <c r="J341" s="27"/>
    </row>
    <row r="342" spans="10:10">
      <c r="J342" s="27"/>
    </row>
    <row r="343" spans="10:10">
      <c r="J343" s="27"/>
    </row>
    <row r="344" spans="10:10">
      <c r="J344" s="27"/>
    </row>
    <row r="345" spans="10:10">
      <c r="J345" s="27"/>
    </row>
    <row r="346" spans="10:10">
      <c r="J346" s="27"/>
    </row>
    <row r="347" spans="10:10">
      <c r="J347" s="27"/>
    </row>
    <row r="348" spans="10:10">
      <c r="J348" s="27"/>
    </row>
    <row r="349" spans="10:10">
      <c r="J349" s="27"/>
    </row>
    <row r="350" spans="10:10">
      <c r="J350" s="27"/>
    </row>
    <row r="351" spans="10:10">
      <c r="J351" s="27"/>
    </row>
    <row r="352" spans="10:10">
      <c r="J352" s="27"/>
    </row>
    <row r="353" spans="10:10">
      <c r="J353" s="27"/>
    </row>
    <row r="354" spans="10:10">
      <c r="J354" s="27"/>
    </row>
    <row r="355" spans="10:10">
      <c r="J355" s="27"/>
    </row>
    <row r="356" spans="10:10">
      <c r="J356" s="27"/>
    </row>
    <row r="357" spans="10:10">
      <c r="J357" s="27"/>
    </row>
    <row r="358" spans="10:10">
      <c r="J358" s="27"/>
    </row>
    <row r="359" spans="10:10">
      <c r="J359" s="27"/>
    </row>
    <row r="360" spans="10:10">
      <c r="J360" s="27"/>
    </row>
    <row r="361" spans="10:10">
      <c r="J361" s="27"/>
    </row>
    <row r="362" spans="10:10">
      <c r="J362" s="27"/>
    </row>
    <row r="363" spans="10:10">
      <c r="J363" s="27"/>
    </row>
    <row r="364" spans="10:10">
      <c r="J364" s="27"/>
    </row>
    <row r="365" spans="10:10">
      <c r="J365" s="27"/>
    </row>
    <row r="366" spans="10:10">
      <c r="J366" s="27"/>
    </row>
    <row r="367" spans="10:10">
      <c r="J367" s="27"/>
    </row>
    <row r="368" spans="10:10">
      <c r="J368" s="27"/>
    </row>
    <row r="369" spans="10:10">
      <c r="J369" s="27"/>
    </row>
    <row r="370" spans="10:10">
      <c r="J370" s="27"/>
    </row>
    <row r="371" spans="10:10">
      <c r="J371" s="27"/>
    </row>
    <row r="372" spans="10:10">
      <c r="J372" s="27"/>
    </row>
    <row r="373" spans="10:10">
      <c r="J373" s="27"/>
    </row>
    <row r="374" spans="10:10">
      <c r="J374" s="27"/>
    </row>
    <row r="375" spans="10:10">
      <c r="J375" s="27"/>
    </row>
    <row r="376" spans="10:10">
      <c r="J376" s="27"/>
    </row>
    <row r="377" spans="10:10">
      <c r="J377" s="27"/>
    </row>
    <row r="378" spans="10:10">
      <c r="J378" s="27"/>
    </row>
    <row r="379" spans="10:10">
      <c r="J379" s="27"/>
    </row>
    <row r="380" spans="10:10">
      <c r="J380" s="27"/>
    </row>
    <row r="381" spans="10:10">
      <c r="J381" s="27"/>
    </row>
    <row r="382" spans="10:10">
      <c r="J382" s="27"/>
    </row>
    <row r="383" spans="10:10">
      <c r="J383" s="27"/>
    </row>
    <row r="384" spans="10:10">
      <c r="J384" s="27"/>
    </row>
    <row r="385" spans="10:10">
      <c r="J385" s="27"/>
    </row>
    <row r="386" spans="10:10">
      <c r="J386" s="27"/>
    </row>
    <row r="387" spans="10:10">
      <c r="J387" s="27"/>
    </row>
    <row r="388" spans="10:10">
      <c r="J388" s="27"/>
    </row>
    <row r="389" spans="10:10">
      <c r="J389" s="27"/>
    </row>
    <row r="390" spans="10:10">
      <c r="J390" s="27"/>
    </row>
    <row r="391" spans="10:10">
      <c r="J391" s="27"/>
    </row>
    <row r="392" spans="10:10">
      <c r="J392" s="27"/>
    </row>
    <row r="393" spans="10:10">
      <c r="J393" s="27"/>
    </row>
    <row r="394" spans="10:10">
      <c r="J394" s="27"/>
    </row>
    <row r="395" spans="10:10">
      <c r="J395" s="27"/>
    </row>
    <row r="396" spans="10:10">
      <c r="J396" s="27"/>
    </row>
    <row r="397" spans="10:10">
      <c r="J397" s="27"/>
    </row>
    <row r="398" spans="10:10">
      <c r="J398" s="27"/>
    </row>
    <row r="399" spans="10:10">
      <c r="J399" s="27"/>
    </row>
    <row r="400" spans="10:10">
      <c r="J400" s="27"/>
    </row>
    <row r="401" spans="10:10">
      <c r="J401" s="27"/>
    </row>
    <row r="402" spans="10:10">
      <c r="J402" s="27"/>
    </row>
    <row r="403" spans="10:10">
      <c r="J403" s="27"/>
    </row>
    <row r="404" spans="10:10">
      <c r="J404" s="27"/>
    </row>
    <row r="405" spans="10:10">
      <c r="J405" s="27"/>
    </row>
    <row r="406" spans="10:10">
      <c r="J406" s="27"/>
    </row>
    <row r="407" spans="10:10">
      <c r="J407" s="27"/>
    </row>
    <row r="408" spans="10:10">
      <c r="J408" s="27"/>
    </row>
    <row r="409" spans="10:10">
      <c r="J409" s="27"/>
    </row>
    <row r="410" spans="10:10">
      <c r="J410" s="27"/>
    </row>
    <row r="411" spans="10:10">
      <c r="J411" s="27"/>
    </row>
    <row r="412" spans="10:10">
      <c r="J412" s="27"/>
    </row>
    <row r="413" spans="10:10">
      <c r="J413" s="27"/>
    </row>
    <row r="414" spans="10:10">
      <c r="J414" s="27"/>
    </row>
    <row r="415" spans="10:10">
      <c r="J415" s="27"/>
    </row>
    <row r="416" spans="10:10">
      <c r="J416" s="27"/>
    </row>
    <row r="417" spans="10:10">
      <c r="J417" s="27"/>
    </row>
    <row r="418" spans="10:10">
      <c r="J418" s="27"/>
    </row>
    <row r="419" spans="10:10">
      <c r="J419" s="27"/>
    </row>
    <row r="420" spans="10:10">
      <c r="J420" s="27"/>
    </row>
    <row r="421" spans="10:10">
      <c r="J421" s="27"/>
    </row>
    <row r="422" spans="10:10">
      <c r="J422" s="27"/>
    </row>
    <row r="423" spans="10:10">
      <c r="J423" s="27"/>
    </row>
    <row r="424" spans="10:10">
      <c r="J424" s="27"/>
    </row>
    <row r="425" spans="10:10">
      <c r="J425" s="27"/>
    </row>
    <row r="426" spans="10:10">
      <c r="J426" s="27"/>
    </row>
    <row r="427" spans="10:10">
      <c r="J427" s="27"/>
    </row>
    <row r="428" spans="10:10">
      <c r="J428" s="27"/>
    </row>
    <row r="429" spans="10:10">
      <c r="J429" s="27"/>
    </row>
    <row r="430" spans="10:10">
      <c r="J430" s="27"/>
    </row>
    <row r="431" spans="10:10">
      <c r="J431" s="27"/>
    </row>
    <row r="432" spans="10:10">
      <c r="J432" s="27"/>
    </row>
    <row r="433" spans="10:10">
      <c r="J433" s="27"/>
    </row>
    <row r="434" spans="10:10">
      <c r="J434" s="27"/>
    </row>
    <row r="435" spans="10:10">
      <c r="J435" s="27"/>
    </row>
    <row r="436" spans="10:10">
      <c r="J436" s="27"/>
    </row>
    <row r="437" spans="10:10">
      <c r="J437" s="27"/>
    </row>
    <row r="438" spans="10:10">
      <c r="J438" s="27"/>
    </row>
    <row r="439" spans="10:10">
      <c r="J439" s="27"/>
    </row>
    <row r="440" spans="10:10">
      <c r="J440" s="27"/>
    </row>
    <row r="441" spans="10:10">
      <c r="J441" s="27"/>
    </row>
    <row r="442" spans="10:10">
      <c r="J442" s="27"/>
    </row>
    <row r="443" spans="10:10">
      <c r="J443" s="27"/>
    </row>
    <row r="444" spans="10:10">
      <c r="J444" s="27"/>
    </row>
    <row r="445" spans="10:10">
      <c r="J445" s="27"/>
    </row>
    <row r="446" spans="10:10">
      <c r="J446" s="27"/>
    </row>
    <row r="447" spans="10:10">
      <c r="J447" s="27"/>
    </row>
    <row r="448" spans="10:10">
      <c r="J448" s="27"/>
    </row>
    <row r="449" spans="10:10">
      <c r="J449" s="27"/>
    </row>
    <row r="450" spans="10:10">
      <c r="J450" s="27"/>
    </row>
    <row r="451" spans="10:10">
      <c r="J451" s="27"/>
    </row>
    <row r="452" spans="10:10">
      <c r="J452" s="27"/>
    </row>
    <row r="453" spans="10:10">
      <c r="J453" s="27"/>
    </row>
    <row r="454" spans="10:10">
      <c r="J454" s="27"/>
    </row>
    <row r="455" spans="10:10">
      <c r="J455" s="27"/>
    </row>
    <row r="456" spans="10:10">
      <c r="J456" s="27"/>
    </row>
    <row r="457" spans="10:10">
      <c r="J457" s="27"/>
    </row>
    <row r="458" spans="10:10">
      <c r="J458" s="27"/>
    </row>
    <row r="459" spans="10:10">
      <c r="J459" s="27"/>
    </row>
    <row r="460" spans="10:10">
      <c r="J460" s="27"/>
    </row>
    <row r="461" spans="10:10">
      <c r="J461" s="27"/>
    </row>
    <row r="462" spans="10:10">
      <c r="J462" s="27"/>
    </row>
    <row r="463" spans="10:10">
      <c r="J463" s="27"/>
    </row>
    <row r="464" spans="10:10">
      <c r="J464" s="27"/>
    </row>
    <row r="465" spans="10:10">
      <c r="J465" s="27"/>
    </row>
    <row r="466" spans="10:10">
      <c r="J466" s="27"/>
    </row>
    <row r="467" spans="10:10">
      <c r="J467" s="27"/>
    </row>
    <row r="468" spans="10:10">
      <c r="J468" s="27"/>
    </row>
    <row r="469" spans="10:10">
      <c r="J469" s="27"/>
    </row>
    <row r="470" spans="10:10">
      <c r="J470" s="27"/>
    </row>
    <row r="471" spans="10:10">
      <c r="J471" s="27"/>
    </row>
    <row r="472" spans="10:10">
      <c r="J472" s="27"/>
    </row>
    <row r="473" spans="10:10">
      <c r="J473" s="27"/>
    </row>
    <row r="474" spans="10:10">
      <c r="J474" s="27"/>
    </row>
    <row r="475" spans="10:10">
      <c r="J475" s="27"/>
    </row>
    <row r="476" spans="10:10">
      <c r="J476" s="27"/>
    </row>
    <row r="477" spans="10:10">
      <c r="J477" s="27"/>
    </row>
    <row r="478" spans="10:10">
      <c r="J478" s="27"/>
    </row>
    <row r="479" spans="10:10">
      <c r="J479" s="27"/>
    </row>
    <row r="480" spans="10:10">
      <c r="J480" s="27"/>
    </row>
    <row r="481" spans="10:10">
      <c r="J481" s="27"/>
    </row>
    <row r="482" spans="10:10">
      <c r="J482" s="27"/>
    </row>
    <row r="483" spans="10:10">
      <c r="J483" s="27"/>
    </row>
    <row r="484" spans="10:10">
      <c r="J484" s="27"/>
    </row>
    <row r="485" spans="10:10">
      <c r="J485" s="27"/>
    </row>
    <row r="486" spans="10:10">
      <c r="J486" s="27"/>
    </row>
    <row r="487" spans="10:10">
      <c r="J487" s="27"/>
    </row>
  </sheetData>
  <sheetProtection algorithmName="SHA-512" hashValue="mLmQ7HcBFKtgNZKmzaCJ9Atq2p8am66yOgxI1s17txr7R+GgrR1XEdpjWwcdvcXun+obag7ZTsu4Z/aSZFuvVg==" saltValue="mPy/JVFTue85e+u3p2Zx3Q==" spinCount="100000" sheet="1" objects="1" scenarios="1"/>
  <mergeCells count="20">
    <mergeCell ref="U2:W3"/>
    <mergeCell ref="O3:O4"/>
    <mergeCell ref="P3:P4"/>
    <mergeCell ref="Q3:Q4"/>
    <mergeCell ref="R3:R4"/>
    <mergeCell ref="S3:S4"/>
    <mergeCell ref="T3:T4"/>
    <mergeCell ref="S2:T2"/>
    <mergeCell ref="I2:J2"/>
    <mergeCell ref="K2:L2"/>
    <mergeCell ref="M2:N2"/>
    <mergeCell ref="O2:P2"/>
    <mergeCell ref="Q2:R2"/>
    <mergeCell ref="H2:H4"/>
    <mergeCell ref="G2:G4"/>
    <mergeCell ref="B2:B4"/>
    <mergeCell ref="C2:C4"/>
    <mergeCell ref="D2:D4"/>
    <mergeCell ref="E2:E4"/>
    <mergeCell ref="F2:F4"/>
  </mergeCells>
  <conditionalFormatting sqref="V5:V13">
    <cfRule type="cellIs" dxfId="23" priority="1" operator="equal">
      <formula>"RENTAN"</formula>
    </cfRule>
    <cfRule type="cellIs" dxfId="22" priority="2" operator="equal">
      <formula>"WASPADA"</formula>
    </cfRule>
    <cfRule type="cellIs" dxfId="21" priority="3" operator="equal">
      <formula>"AMAN"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2"/>
  <sheetViews>
    <sheetView topLeftCell="D2" workbookViewId="0">
      <selection activeCell="I18" sqref="I18"/>
    </sheetView>
  </sheetViews>
  <sheetFormatPr defaultColWidth="9" defaultRowHeight="15"/>
  <cols>
    <col min="1" max="1" width="9" style="2" hidden="1"/>
    <col min="2" max="2" width="5.125" customWidth="1"/>
    <col min="3" max="3" width="14.375" customWidth="1"/>
    <col min="4" max="6" width="22.625" customWidth="1"/>
    <col min="7" max="8" width="13" customWidth="1"/>
    <col min="9" max="14" width="14.125" customWidth="1"/>
    <col min="15" max="16" width="12.625" customWidth="1"/>
    <col min="17" max="17" width="14.375" customWidth="1"/>
  </cols>
  <sheetData>
    <row r="1" spans="1:29" s="2" customFormat="1" hidden="1">
      <c r="A1" s="2" t="s">
        <v>0</v>
      </c>
      <c r="C1" s="2" t="s">
        <v>1</v>
      </c>
      <c r="G1" s="2" t="s">
        <v>2</v>
      </c>
      <c r="H1" s="2" t="s">
        <v>3</v>
      </c>
      <c r="I1" s="2" t="s">
        <v>61</v>
      </c>
      <c r="J1" s="2" t="s">
        <v>62</v>
      </c>
      <c r="K1" s="2" t="s">
        <v>63</v>
      </c>
      <c r="L1" s="2" t="s">
        <v>64</v>
      </c>
      <c r="AC1" s="3"/>
    </row>
    <row r="2" spans="1:29" ht="15" customHeight="1">
      <c r="A2" s="4"/>
      <c r="B2" s="100" t="s">
        <v>14</v>
      </c>
      <c r="C2" s="104" t="s">
        <v>15</v>
      </c>
      <c r="D2" s="100" t="s">
        <v>16</v>
      </c>
      <c r="E2" s="100" t="s">
        <v>49</v>
      </c>
      <c r="F2" s="100" t="s">
        <v>18</v>
      </c>
      <c r="G2" s="106" t="s">
        <v>19</v>
      </c>
      <c r="H2" s="106" t="s">
        <v>20</v>
      </c>
      <c r="I2" s="106" t="s">
        <v>65</v>
      </c>
      <c r="J2" s="106" t="s">
        <v>66</v>
      </c>
      <c r="K2" s="106" t="s">
        <v>67</v>
      </c>
      <c r="L2" s="106" t="s">
        <v>68</v>
      </c>
      <c r="M2" s="106" t="s">
        <v>69</v>
      </c>
      <c r="N2" s="100" t="s">
        <v>70</v>
      </c>
      <c r="O2" s="100" t="s">
        <v>71</v>
      </c>
      <c r="P2" s="100"/>
      <c r="Q2" s="100"/>
    </row>
    <row r="3" spans="1:29" s="32" customFormat="1" ht="44.1" customHeight="1">
      <c r="A3" s="4"/>
      <c r="B3" s="100"/>
      <c r="C3" s="105"/>
      <c r="D3" s="100"/>
      <c r="E3" s="100"/>
      <c r="F3" s="100"/>
      <c r="G3" s="106"/>
      <c r="H3" s="106"/>
      <c r="I3" s="104"/>
      <c r="J3" s="104"/>
      <c r="K3" s="104"/>
      <c r="L3" s="104"/>
      <c r="M3" s="106"/>
      <c r="N3" s="100"/>
      <c r="O3" s="16" t="s">
        <v>58</v>
      </c>
      <c r="P3" s="16" t="s">
        <v>56</v>
      </c>
      <c r="Q3" s="16" t="s">
        <v>59</v>
      </c>
    </row>
    <row r="4" spans="1:29">
      <c r="A4" s="2">
        <v>623672</v>
      </c>
      <c r="B4" s="41">
        <v>1</v>
      </c>
      <c r="C4" s="39">
        <v>62367201</v>
      </c>
      <c r="D4" s="39" t="s">
        <v>32</v>
      </c>
      <c r="E4" s="39" t="s">
        <v>33</v>
      </c>
      <c r="F4" s="39" t="s">
        <v>34</v>
      </c>
      <c r="G4" s="42">
        <v>2025</v>
      </c>
      <c r="H4" s="42">
        <v>12</v>
      </c>
      <c r="I4" s="33">
        <v>49</v>
      </c>
      <c r="J4" s="33">
        <v>199</v>
      </c>
      <c r="K4" s="33">
        <v>3358</v>
      </c>
      <c r="L4" s="33">
        <v>83</v>
      </c>
      <c r="M4" s="77">
        <f>I$4+J$4</f>
        <v>248</v>
      </c>
      <c r="N4" s="78">
        <f>SUM(I$4:L$4)</f>
        <v>3689</v>
      </c>
      <c r="O4" s="61">
        <f>IF(ISERROR((M$4/N$4)*100),0,((M$4/N$4)*100))</f>
        <v>6.7226890756302522</v>
      </c>
      <c r="P4" s="41">
        <f>IF(O$4="","",IF(O$4&lt;10,3,IF(O$4&gt;15,1,2)))</f>
        <v>3</v>
      </c>
      <c r="Q4" s="41" t="str">
        <f>IF(O$4="","",IF(O$4&lt;10,"AMAN",IF(O$4&gt;15,"RENTAN","WASPADA")))</f>
        <v>AMAN</v>
      </c>
    </row>
    <row r="5" spans="1:29">
      <c r="A5" s="2">
        <v>623672</v>
      </c>
      <c r="B5" s="41">
        <v>2</v>
      </c>
      <c r="C5" s="39">
        <v>62367202</v>
      </c>
      <c r="D5" s="39" t="s">
        <v>32</v>
      </c>
      <c r="E5" s="39" t="s">
        <v>33</v>
      </c>
      <c r="F5" s="39" t="s">
        <v>36</v>
      </c>
      <c r="G5" s="42">
        <v>2025</v>
      </c>
      <c r="H5" s="42">
        <v>12</v>
      </c>
      <c r="I5" s="33">
        <v>16</v>
      </c>
      <c r="J5" s="33">
        <v>120</v>
      </c>
      <c r="K5" s="33">
        <v>2867</v>
      </c>
      <c r="L5" s="33">
        <v>170</v>
      </c>
      <c r="M5" s="77">
        <f>I$5+J$5</f>
        <v>136</v>
      </c>
      <c r="N5" s="78">
        <f>SUM(I$5:L$5)</f>
        <v>3173</v>
      </c>
      <c r="O5" s="61">
        <f>IF(ISERROR((M$5/N$5)*100),0,((M$5/N$5)*100))</f>
        <v>4.2861645130791048</v>
      </c>
      <c r="P5" s="41">
        <f>IF(O$5="","",IF(O$5&lt;10,3,IF(O$5&gt;15,1,2)))</f>
        <v>3</v>
      </c>
      <c r="Q5" s="41" t="str">
        <f>IF(O$5="","",IF(O$5&lt;10,"AMAN",IF(O$5&gt;15,"RENTAN","WASPADA")))</f>
        <v>AMAN</v>
      </c>
    </row>
    <row r="6" spans="1:29">
      <c r="A6" s="2">
        <v>623672</v>
      </c>
      <c r="B6" s="41">
        <v>3</v>
      </c>
      <c r="C6" s="39">
        <v>62367203</v>
      </c>
      <c r="D6" s="39" t="s">
        <v>32</v>
      </c>
      <c r="E6" s="39" t="s">
        <v>33</v>
      </c>
      <c r="F6" s="39" t="s">
        <v>37</v>
      </c>
      <c r="G6" s="42">
        <v>2025</v>
      </c>
      <c r="H6" s="42">
        <v>12</v>
      </c>
      <c r="I6" s="33">
        <v>27</v>
      </c>
      <c r="J6" s="33">
        <v>202</v>
      </c>
      <c r="K6" s="33">
        <v>2422</v>
      </c>
      <c r="L6" s="33">
        <v>183</v>
      </c>
      <c r="M6" s="77">
        <f>I$6+J$6</f>
        <v>229</v>
      </c>
      <c r="N6" s="78">
        <f>SUM(I$6:L$6)</f>
        <v>2834</v>
      </c>
      <c r="O6" s="61">
        <f>IF(ISERROR((M$6/N$6)*100),0,((M$6/N$6)*100))</f>
        <v>8.0804516584333097</v>
      </c>
      <c r="P6" s="41">
        <f>IF(O$6="","",IF(O$6&lt;10,3,IF(O$6&gt;15,1,2)))</f>
        <v>3</v>
      </c>
      <c r="Q6" s="41" t="str">
        <f>IF(O$6="","",IF(O$6&lt;10,"AMAN",IF(O$6&gt;15,"RENTAN","WASPADA")))</f>
        <v>AMAN</v>
      </c>
    </row>
    <row r="7" spans="1:29">
      <c r="A7" s="2">
        <v>623672</v>
      </c>
      <c r="B7" s="41">
        <v>4</v>
      </c>
      <c r="C7" s="39">
        <v>62367204</v>
      </c>
      <c r="D7" s="39" t="s">
        <v>32</v>
      </c>
      <c r="E7" s="39" t="s">
        <v>33</v>
      </c>
      <c r="F7" s="39" t="s">
        <v>38</v>
      </c>
      <c r="G7" s="42">
        <v>2025</v>
      </c>
      <c r="H7" s="42">
        <v>12</v>
      </c>
      <c r="I7" s="33">
        <v>52</v>
      </c>
      <c r="J7" s="33">
        <v>51</v>
      </c>
      <c r="K7" s="33">
        <v>3376</v>
      </c>
      <c r="L7" s="33">
        <v>49</v>
      </c>
      <c r="M7" s="77">
        <f>I$7+J$7</f>
        <v>103</v>
      </c>
      <c r="N7" s="78">
        <f>SUM(I$7:L$7)</f>
        <v>3528</v>
      </c>
      <c r="O7" s="61">
        <f>IF(ISERROR((M$7/N$7)*100),0,((M$7/N$7)*100))</f>
        <v>2.9195011337868482</v>
      </c>
      <c r="P7" s="41">
        <f>IF(O$7="","",IF(O$7&lt;10,3,IF(O$7&gt;15,1,2)))</f>
        <v>3</v>
      </c>
      <c r="Q7" s="41" t="str">
        <f>IF(O$7="","",IF(O$7&lt;10,"AMAN",IF(O$7&gt;15,"RENTAN","WASPADA")))</f>
        <v>AMAN</v>
      </c>
    </row>
    <row r="8" spans="1:29">
      <c r="A8" s="2">
        <v>623672</v>
      </c>
      <c r="B8" s="41">
        <v>5</v>
      </c>
      <c r="C8" s="39">
        <v>62367205</v>
      </c>
      <c r="D8" s="39" t="s">
        <v>32</v>
      </c>
      <c r="E8" s="39" t="s">
        <v>33</v>
      </c>
      <c r="F8" s="39" t="s">
        <v>39</v>
      </c>
      <c r="G8" s="42">
        <v>2025</v>
      </c>
      <c r="H8" s="42">
        <v>12</v>
      </c>
      <c r="I8" s="33">
        <v>33</v>
      </c>
      <c r="J8" s="33">
        <v>115</v>
      </c>
      <c r="K8" s="33">
        <v>3344</v>
      </c>
      <c r="L8" s="33">
        <v>152</v>
      </c>
      <c r="M8" s="77">
        <f>I$8+J$8</f>
        <v>148</v>
      </c>
      <c r="N8" s="78">
        <f>SUM(I$8:L$8)</f>
        <v>3644</v>
      </c>
      <c r="O8" s="61">
        <f>IF(ISERROR((M$8/N$8)*100),0,((M$8/N$8)*100))</f>
        <v>4.061470911086718</v>
      </c>
      <c r="P8" s="41">
        <f>IF(O$8="","",IF(O$8&lt;10,3,IF(O$8&gt;15,1,2)))</f>
        <v>3</v>
      </c>
      <c r="Q8" s="41" t="str">
        <f>IF(O$8="","",IF(O$8&lt;10,"AMAN",IF(O$8&gt;15,"RENTAN","WASPADA")))</f>
        <v>AMAN</v>
      </c>
    </row>
    <row r="9" spans="1:29">
      <c r="A9" s="2">
        <v>623672</v>
      </c>
      <c r="B9" s="41">
        <v>6</v>
      </c>
      <c r="C9" s="39">
        <v>62367206</v>
      </c>
      <c r="D9" s="39" t="s">
        <v>32</v>
      </c>
      <c r="E9" s="39" t="s">
        <v>33</v>
      </c>
      <c r="F9" s="39" t="s">
        <v>40</v>
      </c>
      <c r="G9" s="42">
        <v>2025</v>
      </c>
      <c r="H9" s="42">
        <v>12</v>
      </c>
      <c r="I9" s="33">
        <v>32</v>
      </c>
      <c r="J9" s="33">
        <v>203</v>
      </c>
      <c r="K9" s="33">
        <v>2148</v>
      </c>
      <c r="L9" s="33">
        <v>156</v>
      </c>
      <c r="M9" s="77">
        <f>I$9+J$9</f>
        <v>235</v>
      </c>
      <c r="N9" s="78">
        <f>SUM(I$9:L$9)</f>
        <v>2539</v>
      </c>
      <c r="O9" s="61">
        <f>IF(ISERROR((M$9/N$9)*100),0,((M$9/N$9)*100))</f>
        <v>9.2556124458448217</v>
      </c>
      <c r="P9" s="41">
        <f>IF(O$9="","",IF(O$9&lt;10,3,IF(O$9&gt;15,1,2)))</f>
        <v>3</v>
      </c>
      <c r="Q9" s="41" t="str">
        <f>IF(O$9="","",IF(O$9&lt;10,"AMAN",IF(O$9&gt;15,"RENTAN","WASPADA")))</f>
        <v>AMAN</v>
      </c>
    </row>
    <row r="10" spans="1:29">
      <c r="A10" s="2">
        <v>623672</v>
      </c>
      <c r="B10" s="41">
        <v>7</v>
      </c>
      <c r="C10" s="39">
        <v>62367207</v>
      </c>
      <c r="D10" s="39" t="s">
        <v>32</v>
      </c>
      <c r="E10" s="39" t="s">
        <v>33</v>
      </c>
      <c r="F10" s="39" t="s">
        <v>41</v>
      </c>
      <c r="G10" s="42">
        <v>2025</v>
      </c>
      <c r="H10" s="42">
        <v>12</v>
      </c>
      <c r="I10" s="33">
        <v>25</v>
      </c>
      <c r="J10" s="33">
        <v>125</v>
      </c>
      <c r="K10" s="33">
        <v>2529</v>
      </c>
      <c r="L10" s="33">
        <v>97</v>
      </c>
      <c r="M10" s="77">
        <f>I$10+J$10</f>
        <v>150</v>
      </c>
      <c r="N10" s="78">
        <f>SUM(I$10:L$10)</f>
        <v>2776</v>
      </c>
      <c r="O10" s="61">
        <f>IF(ISERROR((M$10/N$10)*100),0,((M$10/N$10)*100))</f>
        <v>5.4034582132564841</v>
      </c>
      <c r="P10" s="41">
        <f>IF(O$10="","",IF(O$10&lt;10,3,IF(O$10&gt;15,1,2)))</f>
        <v>3</v>
      </c>
      <c r="Q10" s="41" t="str">
        <f>IF(O$10="","",IF(O$10&lt;10,"AMAN",IF(O$10&gt;15,"RENTAN","WASPADA")))</f>
        <v>AMAN</v>
      </c>
    </row>
    <row r="11" spans="1:29">
      <c r="A11" s="2">
        <v>623672</v>
      </c>
      <c r="B11" s="41">
        <v>8</v>
      </c>
      <c r="C11" s="39">
        <v>62367208</v>
      </c>
      <c r="D11" s="39" t="s">
        <v>32</v>
      </c>
      <c r="E11" s="39" t="s">
        <v>33</v>
      </c>
      <c r="F11" s="39" t="s">
        <v>42</v>
      </c>
      <c r="G11" s="42">
        <v>2025</v>
      </c>
      <c r="H11" s="42">
        <v>12</v>
      </c>
      <c r="I11" s="33">
        <v>30</v>
      </c>
      <c r="J11" s="33">
        <v>164</v>
      </c>
      <c r="K11" s="33">
        <v>4313</v>
      </c>
      <c r="L11" s="33">
        <v>214</v>
      </c>
      <c r="M11" s="77">
        <f>I$11+J$11</f>
        <v>194</v>
      </c>
      <c r="N11" s="78">
        <f>SUM(I$11:L$11)</f>
        <v>4721</v>
      </c>
      <c r="O11" s="61">
        <f>IF(ISERROR((M$11/N$11)*100),0,((M$11/N$11)*100))</f>
        <v>4.1092988773564922</v>
      </c>
      <c r="P11" s="41">
        <f>IF(O$11="","",IF(O$11&lt;10,3,IF(O$11&gt;15,1,2)))</f>
        <v>3</v>
      </c>
      <c r="Q11" s="41" t="str">
        <f>IF(O$11="","",IF(O$11&lt;10,"AMAN",IF(O$11&gt;15,"RENTAN","WASPADA")))</f>
        <v>AMAN</v>
      </c>
    </row>
    <row r="12" spans="1:29" s="60" customFormat="1">
      <c r="A12" s="10"/>
      <c r="B12" s="56"/>
      <c r="C12" s="56"/>
      <c r="D12" s="57"/>
      <c r="E12" s="57" t="str">
        <f>E11</f>
        <v>Kota Cilegon</v>
      </c>
      <c r="F12" s="57"/>
      <c r="G12" s="51">
        <f>$G$4</f>
        <v>2025</v>
      </c>
      <c r="H12" s="51">
        <f>$H$4</f>
        <v>12</v>
      </c>
      <c r="I12" s="58">
        <f t="shared" ref="I12:N12" si="0">SUM(I4:I11)</f>
        <v>264</v>
      </c>
      <c r="J12" s="58">
        <f t="shared" si="0"/>
        <v>1179</v>
      </c>
      <c r="K12" s="58">
        <f t="shared" si="0"/>
        <v>24357</v>
      </c>
      <c r="L12" s="58">
        <f t="shared" si="0"/>
        <v>1104</v>
      </c>
      <c r="M12" s="58">
        <f t="shared" si="0"/>
        <v>1443</v>
      </c>
      <c r="N12" s="58">
        <f t="shared" si="0"/>
        <v>26904</v>
      </c>
      <c r="O12" s="59">
        <f>IF(ISERROR((M12/N12)*100),0,((M12/N12)*100))</f>
        <v>5.3635147190008921</v>
      </c>
      <c r="P12" s="54">
        <f>IF(O12="","",IF(O12&lt;10,3,IF(O12&gt;15,1,2)))</f>
        <v>3</v>
      </c>
      <c r="Q12" s="54" t="str">
        <f>IF(O12="","",IF(O12&lt;10,"AMAN",IF(O12&gt;15,"RENTAN","WASPADA")))</f>
        <v>AMAN</v>
      </c>
    </row>
  </sheetData>
  <sheetProtection algorithmName="SHA-512" hashValue="8tB5SzLNz55YR13AgHEh/G/9yDzOSKVzVau9Sj+nSVtSzQQ518wT4YFLX/wNI+Yet0q+MukffiFUNnSvVq+plw==" saltValue="cMtFtrpk7SxfvVG6j/bYXQ==" spinCount="100000" sheet="1" objects="1" scenarios="1"/>
  <mergeCells count="14">
    <mergeCell ref="N2:N3"/>
    <mergeCell ref="O2:Q2"/>
    <mergeCell ref="G2:G3"/>
    <mergeCell ref="I2:I3"/>
    <mergeCell ref="J2:J3"/>
    <mergeCell ref="K2:K3"/>
    <mergeCell ref="H2:H3"/>
    <mergeCell ref="B2:B3"/>
    <mergeCell ref="C2:C3"/>
    <mergeCell ref="D2:D3"/>
    <mergeCell ref="L2:L3"/>
    <mergeCell ref="M2:M3"/>
    <mergeCell ref="E2:E3"/>
    <mergeCell ref="F2:F3"/>
  </mergeCells>
  <conditionalFormatting sqref="Q4:Q12">
    <cfRule type="cellIs" dxfId="20" priority="1" operator="equal">
      <formula>"Aman"</formula>
    </cfRule>
    <cfRule type="cellIs" dxfId="19" priority="2" operator="equal">
      <formula>"Waspada"</formula>
    </cfRule>
    <cfRule type="cellIs" dxfId="18" priority="3" operator="equal">
      <formula>"Rentan"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topLeftCell="B1" workbookViewId="0">
      <selection activeCell="M2" sqref="M2"/>
    </sheetView>
  </sheetViews>
  <sheetFormatPr defaultColWidth="9" defaultRowHeight="14.25"/>
  <cols>
    <col min="1" max="1" width="0" hidden="1" customWidth="1"/>
    <col min="2" max="2" width="4.875" style="36" customWidth="1"/>
    <col min="3" max="3" width="15.125" style="36" customWidth="1"/>
    <col min="4" max="6" width="21.125" style="36" customWidth="1"/>
    <col min="7" max="8" width="15.875" customWidth="1"/>
    <col min="9" max="9" width="0" style="32" hidden="1" customWidth="1"/>
    <col min="10" max="10" width="13.125" style="32" customWidth="1"/>
    <col min="11" max="11" width="9" style="32"/>
    <col min="12" max="12" width="16.375" style="32" customWidth="1"/>
    <col min="13" max="13" width="16.375" style="37" customWidth="1"/>
    <col min="14" max="14" width="15.625" style="32" customWidth="1"/>
  </cols>
  <sheetData>
    <row r="1" spans="1:14" ht="63" customHeight="1">
      <c r="B1" s="34" t="s">
        <v>72</v>
      </c>
      <c r="C1" s="35" t="s">
        <v>15</v>
      </c>
      <c r="D1" s="34" t="s">
        <v>16</v>
      </c>
      <c r="E1" s="34" t="s">
        <v>49</v>
      </c>
      <c r="F1" s="34" t="s">
        <v>18</v>
      </c>
      <c r="G1" s="35" t="s">
        <v>19</v>
      </c>
      <c r="H1" s="35" t="s">
        <v>20</v>
      </c>
      <c r="I1" s="34" t="s">
        <v>73</v>
      </c>
      <c r="J1" s="34" t="s">
        <v>74</v>
      </c>
      <c r="K1" s="34" t="s">
        <v>75</v>
      </c>
      <c r="L1" s="35" t="s">
        <v>76</v>
      </c>
      <c r="M1" s="35" t="s">
        <v>77</v>
      </c>
      <c r="N1" s="35" t="s">
        <v>78</v>
      </c>
    </row>
    <row r="2" spans="1:14" ht="15">
      <c r="A2" s="2">
        <v>623672</v>
      </c>
      <c r="B2" s="62">
        <v>1</v>
      </c>
      <c r="C2" s="39">
        <v>62367201</v>
      </c>
      <c r="D2" s="39" t="s">
        <v>32</v>
      </c>
      <c r="E2" s="39" t="s">
        <v>33</v>
      </c>
      <c r="F2" s="39" t="s">
        <v>34</v>
      </c>
      <c r="G2" s="42">
        <v>2025</v>
      </c>
      <c r="H2" s="42">
        <v>12</v>
      </c>
      <c r="I2" s="41">
        <v>0</v>
      </c>
      <c r="J2" s="41" t="str">
        <f>IA!W$5</f>
        <v>2</v>
      </c>
      <c r="K2" s="41">
        <f>IP!P$4</f>
        <v>3</v>
      </c>
      <c r="L2" s="63">
        <f>IF(ISERROR(I$2+J$2+K$2),"",I$2+J$2+K$2)</f>
        <v>5</v>
      </c>
      <c r="M2" s="63" t="str">
        <f>IF(L$2="","",IF(L$2&lt;=3,"RENTAN",IF(L$2&gt;5,"AMAN","WASPADA")))</f>
        <v>WASPADA</v>
      </c>
      <c r="N2" s="41" t="str">
        <f>IF(M$2="","",IF(M$2="aman","3",IF(M$2="rentan","1","2")))</f>
        <v>2</v>
      </c>
    </row>
    <row r="3" spans="1:14" ht="15">
      <c r="A3" s="2">
        <v>623672</v>
      </c>
      <c r="B3" s="62">
        <v>2</v>
      </c>
      <c r="C3" s="39">
        <v>62367202</v>
      </c>
      <c r="D3" s="39" t="s">
        <v>32</v>
      </c>
      <c r="E3" s="39" t="s">
        <v>33</v>
      </c>
      <c r="F3" s="39" t="s">
        <v>36</v>
      </c>
      <c r="G3" s="42">
        <v>2025</v>
      </c>
      <c r="H3" s="42">
        <v>12</v>
      </c>
      <c r="I3" s="41">
        <v>0</v>
      </c>
      <c r="J3" s="41" t="str">
        <f>IA!W$6</f>
        <v>2</v>
      </c>
      <c r="K3" s="41">
        <f>IP!P$5</f>
        <v>3</v>
      </c>
      <c r="L3" s="63">
        <f>IF(ISERROR(I$3+J$3+K$3),"",I$3+J$3+K$3)</f>
        <v>5</v>
      </c>
      <c r="M3" s="63" t="str">
        <f>IF(L$3="","",IF(L$3&lt;=3,"RENTAN",IF(L$3&gt;5,"AMAN","WASPADA")))</f>
        <v>WASPADA</v>
      </c>
      <c r="N3" s="41" t="str">
        <f>IF(M$3="","",IF(M$3="aman","3",IF(M$3="rentan","1","2")))</f>
        <v>2</v>
      </c>
    </row>
    <row r="4" spans="1:14" ht="15">
      <c r="A4" s="2">
        <v>623672</v>
      </c>
      <c r="B4" s="62">
        <v>3</v>
      </c>
      <c r="C4" s="39">
        <v>62367203</v>
      </c>
      <c r="D4" s="39" t="s">
        <v>32</v>
      </c>
      <c r="E4" s="39" t="s">
        <v>33</v>
      </c>
      <c r="F4" s="39" t="s">
        <v>37</v>
      </c>
      <c r="G4" s="42">
        <v>2025</v>
      </c>
      <c r="H4" s="42">
        <v>12</v>
      </c>
      <c r="I4" s="41">
        <v>0</v>
      </c>
      <c r="J4" s="41" t="str">
        <f>IA!W$7</f>
        <v>2</v>
      </c>
      <c r="K4" s="41">
        <f>IP!P$6</f>
        <v>3</v>
      </c>
      <c r="L4" s="63">
        <f>IF(ISERROR(I$4+J$4+K$4),"",I$4+J$4+K$4)</f>
        <v>5</v>
      </c>
      <c r="M4" s="63" t="str">
        <f>IF(L$4="","",IF(L$4&lt;=3,"RENTAN",IF(L$4&gt;5,"AMAN","WASPADA")))</f>
        <v>WASPADA</v>
      </c>
      <c r="N4" s="41" t="str">
        <f>IF(M$4="","",IF(M$4="aman","3",IF(M$4="rentan","1","2")))</f>
        <v>2</v>
      </c>
    </row>
    <row r="5" spans="1:14" ht="15">
      <c r="A5" s="2">
        <v>623672</v>
      </c>
      <c r="B5" s="62">
        <v>4</v>
      </c>
      <c r="C5" s="39">
        <v>62367204</v>
      </c>
      <c r="D5" s="39" t="s">
        <v>32</v>
      </c>
      <c r="E5" s="39" t="s">
        <v>33</v>
      </c>
      <c r="F5" s="39" t="s">
        <v>38</v>
      </c>
      <c r="G5" s="42">
        <v>2025</v>
      </c>
      <c r="H5" s="42">
        <v>12</v>
      </c>
      <c r="I5" s="41">
        <v>0</v>
      </c>
      <c r="J5" s="41" t="str">
        <f>IA!W$8</f>
        <v>2</v>
      </c>
      <c r="K5" s="41">
        <f>IP!P$7</f>
        <v>3</v>
      </c>
      <c r="L5" s="63">
        <f>IF(ISERROR(I$5+J$5+K$5),"",I$5+J$5+K$5)</f>
        <v>5</v>
      </c>
      <c r="M5" s="63" t="str">
        <f>IF(L$5="","",IF(L$5&lt;=3,"RENTAN",IF(L$5&gt;5,"AMAN","WASPADA")))</f>
        <v>WASPADA</v>
      </c>
      <c r="N5" s="41" t="str">
        <f>IF(M$5="","",IF(M$5="aman","3",IF(M$5="rentan","1","2")))</f>
        <v>2</v>
      </c>
    </row>
    <row r="6" spans="1:14" ht="15">
      <c r="A6" s="2">
        <v>623672</v>
      </c>
      <c r="B6" s="62">
        <v>5</v>
      </c>
      <c r="C6" s="39">
        <v>62367205</v>
      </c>
      <c r="D6" s="39" t="s">
        <v>32</v>
      </c>
      <c r="E6" s="39" t="s">
        <v>33</v>
      </c>
      <c r="F6" s="39" t="s">
        <v>39</v>
      </c>
      <c r="G6" s="42">
        <v>2025</v>
      </c>
      <c r="H6" s="42">
        <v>12</v>
      </c>
      <c r="I6" s="41">
        <v>0</v>
      </c>
      <c r="J6" s="41" t="str">
        <f>IA!W$9</f>
        <v>2</v>
      </c>
      <c r="K6" s="41">
        <f>IP!P$8</f>
        <v>3</v>
      </c>
      <c r="L6" s="63">
        <f>IF(ISERROR(I$6+J$6+K$6),"",I$6+J$6+K$6)</f>
        <v>5</v>
      </c>
      <c r="M6" s="63" t="str">
        <f>IF(L$6="","",IF(L$6&lt;=3,"RENTAN",IF(L$6&gt;5,"AMAN","WASPADA")))</f>
        <v>WASPADA</v>
      </c>
      <c r="N6" s="41" t="str">
        <f>IF(M$6="","",IF(M$6="aman","3",IF(M$6="rentan","1","2")))</f>
        <v>2</v>
      </c>
    </row>
    <row r="7" spans="1:14" ht="15">
      <c r="A7" s="2">
        <v>623672</v>
      </c>
      <c r="B7" s="62">
        <v>6</v>
      </c>
      <c r="C7" s="39">
        <v>62367206</v>
      </c>
      <c r="D7" s="39" t="s">
        <v>32</v>
      </c>
      <c r="E7" s="39" t="s">
        <v>33</v>
      </c>
      <c r="F7" s="39" t="s">
        <v>40</v>
      </c>
      <c r="G7" s="42">
        <v>2025</v>
      </c>
      <c r="H7" s="42">
        <v>12</v>
      </c>
      <c r="I7" s="41">
        <v>0</v>
      </c>
      <c r="J7" s="41" t="str">
        <f>IA!W$10</f>
        <v>2</v>
      </c>
      <c r="K7" s="41">
        <f>IP!P$9</f>
        <v>3</v>
      </c>
      <c r="L7" s="63">
        <f>IF(ISERROR(I$7+J$7+K$7),"",I$7+J$7+K$7)</f>
        <v>5</v>
      </c>
      <c r="M7" s="63" t="str">
        <f>IF(L$7="","",IF(L$7&lt;=3,"RENTAN",IF(L$7&gt;5,"AMAN","WASPADA")))</f>
        <v>WASPADA</v>
      </c>
      <c r="N7" s="41" t="str">
        <f>IF(M$7="","",IF(M$7="aman","3",IF(M$7="rentan","1","2")))</f>
        <v>2</v>
      </c>
    </row>
    <row r="8" spans="1:14" ht="15">
      <c r="A8" s="2">
        <v>623672</v>
      </c>
      <c r="B8" s="62">
        <v>7</v>
      </c>
      <c r="C8" s="39">
        <v>62367207</v>
      </c>
      <c r="D8" s="39" t="s">
        <v>32</v>
      </c>
      <c r="E8" s="39" t="s">
        <v>33</v>
      </c>
      <c r="F8" s="39" t="s">
        <v>41</v>
      </c>
      <c r="G8" s="42">
        <v>2025</v>
      </c>
      <c r="H8" s="42">
        <v>12</v>
      </c>
      <c r="I8" s="41">
        <v>0</v>
      </c>
      <c r="J8" s="41" t="str">
        <f>IA!W$11</f>
        <v>2</v>
      </c>
      <c r="K8" s="41">
        <f>IP!P$10</f>
        <v>3</v>
      </c>
      <c r="L8" s="63">
        <f>IF(ISERROR(I$8+J$8+K$8),"",I$8+J$8+K$8)</f>
        <v>5</v>
      </c>
      <c r="M8" s="63" t="str">
        <f>IF(L$8="","",IF(L$8&lt;=3,"RENTAN",IF(L$8&gt;5,"AMAN","WASPADA")))</f>
        <v>WASPADA</v>
      </c>
      <c r="N8" s="41" t="str">
        <f>IF(M$8="","",IF(M$8="aman","3",IF(M$8="rentan","1","2")))</f>
        <v>2</v>
      </c>
    </row>
    <row r="9" spans="1:14" ht="15">
      <c r="A9" s="2">
        <v>623672</v>
      </c>
      <c r="B9" s="62">
        <v>8</v>
      </c>
      <c r="C9" s="39">
        <v>62367208</v>
      </c>
      <c r="D9" s="39" t="s">
        <v>32</v>
      </c>
      <c r="E9" s="39" t="s">
        <v>33</v>
      </c>
      <c r="F9" s="39" t="s">
        <v>42</v>
      </c>
      <c r="G9" s="42">
        <v>2025</v>
      </c>
      <c r="H9" s="42">
        <v>12</v>
      </c>
      <c r="I9" s="41">
        <v>0</v>
      </c>
      <c r="J9" s="41" t="str">
        <f>IA!W$12</f>
        <v>2</v>
      </c>
      <c r="K9" s="41">
        <f>IP!P$11</f>
        <v>3</v>
      </c>
      <c r="L9" s="63">
        <f>IF(ISERROR(I$9+J$9+K$9),"",I$9+J$9+K$9)</f>
        <v>5</v>
      </c>
      <c r="M9" s="63" t="str">
        <f>IF(L$9="","",IF(L$9&lt;=3,"RENTAN",IF(L$9&gt;5,"AMAN","WASPADA")))</f>
        <v>WASPADA</v>
      </c>
      <c r="N9" s="41" t="str">
        <f>IF(M$9="","",IF(M$9="aman","3",IF(M$9="rentan","1","2")))</f>
        <v>2</v>
      </c>
    </row>
    <row r="10" spans="1:14" ht="14.25" customHeight="1">
      <c r="B10" s="64"/>
      <c r="C10" s="56"/>
      <c r="D10" s="65"/>
      <c r="E10" s="65" t="str">
        <f>E9</f>
        <v>Kota Cilegon</v>
      </c>
      <c r="F10" s="65"/>
      <c r="G10" s="39">
        <f>$G$2</f>
        <v>2025</v>
      </c>
      <c r="H10" s="39">
        <f>$H$2</f>
        <v>12</v>
      </c>
      <c r="I10" s="41">
        <v>0</v>
      </c>
      <c r="J10" s="41" t="str">
        <f>IA!W$13</f>
        <v>2</v>
      </c>
      <c r="K10" s="41">
        <f>IP!P$12</f>
        <v>3</v>
      </c>
      <c r="L10" s="66">
        <f>IF(ISERROR(I10+J10+K10),"",I10+J10+K10)</f>
        <v>5</v>
      </c>
      <c r="M10" s="66" t="str">
        <f>IF(L10="","",IF(L10&lt;=3,"RENTAN",IF(L10&gt;5,"AMAN","WASPADA")))</f>
        <v>WASPADA</v>
      </c>
      <c r="N10" s="54" t="str">
        <f>IF(M10="","",IF(M10="aman","3",IF(M10="rentan","1","2")))</f>
        <v>2</v>
      </c>
    </row>
  </sheetData>
  <sheetProtection algorithmName="SHA-512" hashValue="sBN/dZ0uvVy45ijAXvoAkoMsJtRrPH0i2UkyznmKTPG5G1GkW3OahfOx+Hnn+bicDEvwrpx0hvRKd0m9gzmqdQ==" saltValue="a0oP1nPC0rLNSbOtYkGuGw==" spinCount="100000" sheet="1" objects="1" scenarios="1"/>
  <conditionalFormatting sqref="M2:M10">
    <cfRule type="expression" dxfId="17" priority="1" stopIfTrue="1">
      <formula>$M2="Rentan"</formula>
    </cfRule>
    <cfRule type="expression" dxfId="16" priority="2" stopIfTrue="1">
      <formula>$M2="Waspada"</formula>
    </cfRule>
    <cfRule type="expression" dxfId="15" priority="3" stopIfTrue="1">
      <formula>$M2="Aman"</formula>
    </cfRule>
    <cfRule type="expression" dxfId="14" priority="4" stopIfTrue="1">
      <formula>$M2="Rentan"</formula>
    </cfRule>
    <cfRule type="expression" dxfId="13" priority="5" stopIfTrue="1">
      <formula>$M2="Waspada"</formula>
    </cfRule>
    <cfRule type="expression" dxfId="12" priority="6" stopIfTrue="1">
      <formula>$M2="Aman"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"/>
  <sheetViews>
    <sheetView topLeftCell="F2" workbookViewId="0">
      <selection activeCell="I4" sqref="I4"/>
    </sheetView>
  </sheetViews>
  <sheetFormatPr defaultColWidth="9.125" defaultRowHeight="15"/>
  <cols>
    <col min="1" max="1" width="9.125" style="2" hidden="1"/>
    <col min="2" max="2" width="6.875" style="2" customWidth="1"/>
    <col min="3" max="3" width="14.375" style="2" customWidth="1"/>
    <col min="4" max="6" width="17.125" style="2" customWidth="1"/>
    <col min="7" max="8" width="13.125" style="2" customWidth="1"/>
    <col min="9" max="14" width="16.375" style="2" customWidth="1"/>
    <col min="15" max="16" width="19" style="2" customWidth="1"/>
    <col min="17" max="17" width="9.125" style="2"/>
  </cols>
  <sheetData>
    <row r="1" spans="1:19" hidden="1">
      <c r="A1" s="2" t="s">
        <v>0</v>
      </c>
      <c r="C1" s="2" t="s">
        <v>1</v>
      </c>
      <c r="G1" s="2" t="s">
        <v>2</v>
      </c>
      <c r="H1" s="2" t="s">
        <v>3</v>
      </c>
      <c r="I1" s="2" t="s">
        <v>79</v>
      </c>
      <c r="L1" s="2" t="s">
        <v>80</v>
      </c>
      <c r="S1" s="2">
        <v>6775643</v>
      </c>
    </row>
    <row r="2" spans="1:19" s="4" customFormat="1" ht="15.75" customHeight="1">
      <c r="B2" s="113" t="s">
        <v>14</v>
      </c>
      <c r="C2" s="109" t="s">
        <v>15</v>
      </c>
      <c r="D2" s="113" t="s">
        <v>16</v>
      </c>
      <c r="E2" s="113" t="s">
        <v>17</v>
      </c>
      <c r="F2" s="113" t="s">
        <v>18</v>
      </c>
      <c r="G2" s="109" t="s">
        <v>19</v>
      </c>
      <c r="H2" s="109" t="s">
        <v>20</v>
      </c>
      <c r="I2" s="111" t="s">
        <v>81</v>
      </c>
      <c r="J2" s="111"/>
      <c r="K2" s="111"/>
      <c r="L2" s="112" t="s">
        <v>82</v>
      </c>
      <c r="M2" s="112"/>
      <c r="N2" s="112"/>
      <c r="O2" s="107" t="s">
        <v>83</v>
      </c>
      <c r="P2" s="108"/>
    </row>
    <row r="3" spans="1:19" s="4" customFormat="1" ht="30" customHeight="1">
      <c r="B3" s="113"/>
      <c r="C3" s="110"/>
      <c r="D3" s="113"/>
      <c r="E3" s="113"/>
      <c r="F3" s="113"/>
      <c r="G3" s="110"/>
      <c r="H3" s="110"/>
      <c r="I3" s="70" t="s">
        <v>84</v>
      </c>
      <c r="J3" s="70" t="s">
        <v>85</v>
      </c>
      <c r="K3" s="70" t="s">
        <v>86</v>
      </c>
      <c r="L3" s="71" t="s">
        <v>84</v>
      </c>
      <c r="M3" s="71" t="s">
        <v>85</v>
      </c>
      <c r="N3" s="71" t="s">
        <v>86</v>
      </c>
      <c r="O3" s="72" t="s">
        <v>87</v>
      </c>
      <c r="P3" s="73" t="s">
        <v>86</v>
      </c>
    </row>
    <row r="4" spans="1:19" ht="15.75" customHeight="1">
      <c r="A4" s="2">
        <v>623672</v>
      </c>
      <c r="B4" s="38">
        <v>1</v>
      </c>
      <c r="C4" s="39">
        <v>62367201</v>
      </c>
      <c r="D4" s="39" t="s">
        <v>32</v>
      </c>
      <c r="E4" s="39" t="s">
        <v>33</v>
      </c>
      <c r="F4" s="39" t="s">
        <v>34</v>
      </c>
      <c r="G4" s="42">
        <v>2025</v>
      </c>
      <c r="H4" s="42">
        <v>12</v>
      </c>
      <c r="I4" s="67">
        <v>0</v>
      </c>
      <c r="J4" s="75"/>
      <c r="K4" s="74" t="str">
        <f>IF(J$4=9,"Tidak ada data",IF(J$4=3,"Awas",IF(J$4=2,"Siaga",IF(J$4=1,"Waspada","Aman"))))</f>
        <v>Aman</v>
      </c>
      <c r="L4" s="1">
        <v>0</v>
      </c>
      <c r="M4" s="75"/>
      <c r="N4" s="74" t="str">
        <f>IF(M$4=9,"Tidak ada data",IF(M$4=3,"Awas",IF(M$4=2,"Siaga",IF(M$4=1,"Waspada","Aman"))))</f>
        <v>Aman</v>
      </c>
      <c r="O4" s="68" t="str">
        <f>_xlfn.CONCAT(J$4,M$4)</f>
        <v/>
      </c>
      <c r="P4" s="74" t="e">
        <f>VLOOKUP(O$4,PVTX!$C$1:$D$25,2)</f>
        <v>#N/A</v>
      </c>
      <c r="Q4" s="8"/>
    </row>
    <row r="5" spans="1:19" ht="15.75" customHeight="1">
      <c r="A5" s="2">
        <v>623672</v>
      </c>
      <c r="B5" s="38">
        <v>2</v>
      </c>
      <c r="C5" s="39">
        <v>62367202</v>
      </c>
      <c r="D5" s="39" t="s">
        <v>32</v>
      </c>
      <c r="E5" s="39" t="s">
        <v>33</v>
      </c>
      <c r="F5" s="39" t="s">
        <v>36</v>
      </c>
      <c r="G5" s="42">
        <v>2025</v>
      </c>
      <c r="H5" s="42">
        <v>12</v>
      </c>
      <c r="I5" s="67">
        <v>0</v>
      </c>
      <c r="J5" s="75"/>
      <c r="K5" s="74" t="str">
        <f>IF(J$5=9,"Tidak ada data",IF(J$5=3,"Awas",IF(J$5=2,"Siaga",IF(J$5=1,"Waspada","Aman"))))</f>
        <v>Aman</v>
      </c>
      <c r="L5" s="1">
        <v>0</v>
      </c>
      <c r="M5" s="75"/>
      <c r="N5" s="74" t="str">
        <f>IF(M$5=9,"Tidak ada data",IF(M$5=3,"Awas",IF(M$5=2,"Siaga",IF(M$5=1,"Waspada","Aman"))))</f>
        <v>Aman</v>
      </c>
      <c r="O5" s="68" t="str">
        <f>_xlfn.CONCAT(J$5,M$5)</f>
        <v/>
      </c>
      <c r="P5" s="74" t="e">
        <f>VLOOKUP(O$5,PVTX!$C$1:$D$25,2)</f>
        <v>#N/A</v>
      </c>
      <c r="Q5" s="8"/>
    </row>
    <row r="6" spans="1:19" ht="15.75" customHeight="1">
      <c r="A6" s="2">
        <v>623672</v>
      </c>
      <c r="B6" s="38">
        <v>3</v>
      </c>
      <c r="C6" s="39">
        <v>62367203</v>
      </c>
      <c r="D6" s="39" t="s">
        <v>32</v>
      </c>
      <c r="E6" s="39" t="s">
        <v>33</v>
      </c>
      <c r="F6" s="39" t="s">
        <v>37</v>
      </c>
      <c r="G6" s="42">
        <v>2025</v>
      </c>
      <c r="H6" s="42">
        <v>12</v>
      </c>
      <c r="I6" s="67">
        <v>0</v>
      </c>
      <c r="J6" s="75"/>
      <c r="K6" s="74" t="str">
        <f>IF(J$6=9,"Tidak ada data",IF(J$6=3,"Awas",IF(J$6=2,"Siaga",IF(J$6=1,"Waspada","Aman"))))</f>
        <v>Aman</v>
      </c>
      <c r="L6" s="1">
        <v>0</v>
      </c>
      <c r="M6" s="75"/>
      <c r="N6" s="74" t="str">
        <f>IF(M$6=9,"Tidak ada data",IF(M$6=3,"Awas",IF(M$6=2,"Siaga",IF(M$6=1,"Waspada","Aman"))))</f>
        <v>Aman</v>
      </c>
      <c r="O6" s="68" t="str">
        <f>_xlfn.CONCAT(J$6,M$6)</f>
        <v/>
      </c>
      <c r="P6" s="74" t="e">
        <f>VLOOKUP(O$6,PVTX!$C$1:$D$25,2)</f>
        <v>#N/A</v>
      </c>
      <c r="Q6" s="8"/>
    </row>
    <row r="7" spans="1:19" ht="15.75" customHeight="1">
      <c r="A7" s="2">
        <v>623672</v>
      </c>
      <c r="B7" s="38">
        <v>4</v>
      </c>
      <c r="C7" s="39">
        <v>62367204</v>
      </c>
      <c r="D7" s="39" t="s">
        <v>32</v>
      </c>
      <c r="E7" s="39" t="s">
        <v>33</v>
      </c>
      <c r="F7" s="39" t="s">
        <v>38</v>
      </c>
      <c r="G7" s="42">
        <v>2025</v>
      </c>
      <c r="H7" s="42">
        <v>12</v>
      </c>
      <c r="I7" s="67">
        <v>0</v>
      </c>
      <c r="J7" s="75"/>
      <c r="K7" s="74" t="str">
        <f>IF(J$7=9,"Tidak ada data",IF(J$7=3,"Awas",IF(J$7=2,"Siaga",IF(J$7=1,"Waspada","Aman"))))</f>
        <v>Aman</v>
      </c>
      <c r="L7" s="1">
        <v>0</v>
      </c>
      <c r="M7" s="75"/>
      <c r="N7" s="74" t="str">
        <f>IF(M$7=9,"Tidak ada data",IF(M$7=3,"Awas",IF(M$7=2,"Siaga",IF(M$7=1,"Waspada","Aman"))))</f>
        <v>Aman</v>
      </c>
      <c r="O7" s="68" t="str">
        <f>_xlfn.CONCAT(J$7,M$7)</f>
        <v/>
      </c>
      <c r="P7" s="74" t="e">
        <f>VLOOKUP(O$7,PVTX!$C$1:$D$25,2)</f>
        <v>#N/A</v>
      </c>
      <c r="Q7" s="8"/>
    </row>
    <row r="8" spans="1:19" ht="15.75" customHeight="1">
      <c r="A8" s="2">
        <v>623672</v>
      </c>
      <c r="B8" s="38">
        <v>5</v>
      </c>
      <c r="C8" s="39">
        <v>62367205</v>
      </c>
      <c r="D8" s="39" t="s">
        <v>32</v>
      </c>
      <c r="E8" s="39" t="s">
        <v>33</v>
      </c>
      <c r="F8" s="39" t="s">
        <v>39</v>
      </c>
      <c r="G8" s="42">
        <v>2025</v>
      </c>
      <c r="H8" s="42">
        <v>12</v>
      </c>
      <c r="I8" s="67">
        <v>0</v>
      </c>
      <c r="J8" s="75"/>
      <c r="K8" s="74" t="str">
        <f>IF(J$8=9,"Tidak ada data",IF(J$8=3,"Awas",IF(J$8=2,"Siaga",IF(J$8=1,"Waspada","Aman"))))</f>
        <v>Aman</v>
      </c>
      <c r="L8" s="1">
        <v>0</v>
      </c>
      <c r="M8" s="75"/>
      <c r="N8" s="74" t="str">
        <f>IF(M$8=9,"Tidak ada data",IF(M$8=3,"Awas",IF(M$8=2,"Siaga",IF(M$8=1,"Waspada","Aman"))))</f>
        <v>Aman</v>
      </c>
      <c r="O8" s="68" t="str">
        <f>_xlfn.CONCAT(J$8,M$8)</f>
        <v/>
      </c>
      <c r="P8" s="74" t="e">
        <f>VLOOKUP(O$8,PVTX!$C$1:$D$25,2)</f>
        <v>#N/A</v>
      </c>
      <c r="Q8" s="8"/>
    </row>
    <row r="9" spans="1:19" ht="15.75" customHeight="1">
      <c r="A9" s="2">
        <v>623672</v>
      </c>
      <c r="B9" s="38">
        <v>6</v>
      </c>
      <c r="C9" s="39">
        <v>62367206</v>
      </c>
      <c r="D9" s="39" t="s">
        <v>32</v>
      </c>
      <c r="E9" s="39" t="s">
        <v>33</v>
      </c>
      <c r="F9" s="39" t="s">
        <v>40</v>
      </c>
      <c r="G9" s="42">
        <v>2025</v>
      </c>
      <c r="H9" s="42">
        <v>12</v>
      </c>
      <c r="I9" s="67">
        <v>0</v>
      </c>
      <c r="J9" s="75"/>
      <c r="K9" s="74" t="str">
        <f>IF(J$9=9,"Tidak ada data",IF(J$9=3,"Awas",IF(J$9=2,"Siaga",IF(J$9=1,"Waspada","Aman"))))</f>
        <v>Aman</v>
      </c>
      <c r="L9" s="1">
        <v>0</v>
      </c>
      <c r="M9" s="75"/>
      <c r="N9" s="74" t="str">
        <f>IF(M$9=9,"Tidak ada data",IF(M$9=3,"Awas",IF(M$9=2,"Siaga",IF(M$9=1,"Waspada","Aman"))))</f>
        <v>Aman</v>
      </c>
      <c r="O9" s="68" t="str">
        <f>_xlfn.CONCAT(J$9,M$9)</f>
        <v/>
      </c>
      <c r="P9" s="74" t="e">
        <f>VLOOKUP(O$9,PVTX!$C$1:$D$25,2)</f>
        <v>#N/A</v>
      </c>
      <c r="Q9" s="8"/>
    </row>
    <row r="10" spans="1:19" ht="15.75" customHeight="1">
      <c r="A10" s="2">
        <v>623672</v>
      </c>
      <c r="B10" s="38">
        <v>7</v>
      </c>
      <c r="C10" s="39">
        <v>62367207</v>
      </c>
      <c r="D10" s="39" t="s">
        <v>32</v>
      </c>
      <c r="E10" s="39" t="s">
        <v>33</v>
      </c>
      <c r="F10" s="39" t="s">
        <v>41</v>
      </c>
      <c r="G10" s="42">
        <v>2025</v>
      </c>
      <c r="H10" s="42">
        <v>12</v>
      </c>
      <c r="I10" s="67">
        <v>0</v>
      </c>
      <c r="J10" s="75"/>
      <c r="K10" s="74" t="str">
        <f>IF(J$10=9,"Tidak ada data",IF(J$10=3,"Awas",IF(J$10=2,"Siaga",IF(J$10=1,"Waspada","Aman"))))</f>
        <v>Aman</v>
      </c>
      <c r="L10" s="1">
        <v>0</v>
      </c>
      <c r="M10" s="75"/>
      <c r="N10" s="74" t="str">
        <f>IF(M$10=9,"Tidak ada data",IF(M$10=3,"Awas",IF(M$10=2,"Siaga",IF(M$10=1,"Waspada","Aman"))))</f>
        <v>Aman</v>
      </c>
      <c r="O10" s="68" t="str">
        <f>_xlfn.CONCAT(J$10,M$10)</f>
        <v/>
      </c>
      <c r="P10" s="74" t="e">
        <f>VLOOKUP(O$10,PVTX!$C$1:$D$25,2)</f>
        <v>#N/A</v>
      </c>
      <c r="Q10" s="8"/>
    </row>
    <row r="11" spans="1:19" ht="15.75" customHeight="1">
      <c r="A11" s="2">
        <v>623672</v>
      </c>
      <c r="B11" s="38">
        <v>8</v>
      </c>
      <c r="C11" s="39">
        <v>62367208</v>
      </c>
      <c r="D11" s="39" t="s">
        <v>32</v>
      </c>
      <c r="E11" s="39" t="s">
        <v>33</v>
      </c>
      <c r="F11" s="39" t="s">
        <v>42</v>
      </c>
      <c r="G11" s="42">
        <v>2025</v>
      </c>
      <c r="H11" s="42">
        <v>12</v>
      </c>
      <c r="I11" s="67">
        <v>0</v>
      </c>
      <c r="J11" s="75"/>
      <c r="K11" s="74" t="str">
        <f>IF(J$11=9,"Tidak ada data",IF(J$11=3,"Awas",IF(J$11=2,"Siaga",IF(J$11=1,"Waspada","Aman"))))</f>
        <v>Aman</v>
      </c>
      <c r="L11" s="1">
        <v>0</v>
      </c>
      <c r="M11" s="75"/>
      <c r="N11" s="74" t="str">
        <f>IF(M$11=9,"Tidak ada data",IF(M$11=3,"Awas",IF(M$11=2,"Siaga",IF(M$11=1,"Waspada","Aman"))))</f>
        <v>Aman</v>
      </c>
      <c r="O11" s="68" t="str">
        <f>_xlfn.CONCAT(J$11,M$11)</f>
        <v/>
      </c>
      <c r="P11" s="74" t="e">
        <f>VLOOKUP(O$11,PVTX!$C$1:$D$25,2)</f>
        <v>#N/A</v>
      </c>
      <c r="Q11" s="8"/>
    </row>
    <row r="12" spans="1:19" s="10" customFormat="1" ht="14.45" customHeight="1">
      <c r="B12" s="43"/>
      <c r="C12" s="44"/>
      <c r="D12" s="43"/>
      <c r="E12" s="43" t="str">
        <f>E11</f>
        <v>Kota Cilegon</v>
      </c>
      <c r="F12" s="43"/>
      <c r="G12" s="44">
        <f>$G$4</f>
        <v>2025</v>
      </c>
      <c r="H12" s="44">
        <f>$H$4</f>
        <v>12</v>
      </c>
      <c r="I12" s="76">
        <f>IFERROR(ROUNDDOWN(AVERAGEIF(I4:I11,"&gt;0"),0),0)</f>
        <v>0</v>
      </c>
      <c r="J12" s="75"/>
      <c r="K12" s="74" t="str">
        <f>IF(J12=9,"Tidak ada data",IF(J12=3,"Awas",IF(J12=2,"Siaga",IF(J12=1,"Waspada","Aman"))))</f>
        <v>Aman</v>
      </c>
      <c r="L12" s="76">
        <f>IFERROR(ROUNDDOWN(AVERAGEIF(L4:L11,"&gt;0"),0),0)</f>
        <v>0</v>
      </c>
      <c r="M12" s="75"/>
      <c r="N12" s="74" t="str">
        <f>IF(M12=9,"Tidak ada data",IF(M12=3,"Awas",IF(M12=2,"Siaga",IF(M12=1,"Waspada","Aman"))))</f>
        <v>Aman</v>
      </c>
      <c r="O12" s="68" t="str">
        <f>_xlfn.CONCAT(J12,M12)</f>
        <v/>
      </c>
      <c r="P12" s="74" t="e">
        <f>VLOOKUP(O12,PVTX!$C$1:$D$25,2)</f>
        <v>#N/A</v>
      </c>
      <c r="Q12" s="9"/>
    </row>
  </sheetData>
  <sheetProtection algorithmName="SHA-512" hashValue="x+brxdMoOV1DW1QqUkVL6ln1JnXWgXk95UnGNbw7Ao7TKJFWnXS/HIFt5ALyL59SVOsUGzzByndJccsN0//P5w==" saltValue="9R8F9JhFzwwiPueHv5W1ow==" spinCount="100000" sheet="1" objects="1" scenarios="1"/>
  <mergeCells count="10">
    <mergeCell ref="O2:P2"/>
    <mergeCell ref="H2:H3"/>
    <mergeCell ref="I2:K2"/>
    <mergeCell ref="L2:N2"/>
    <mergeCell ref="B2:B3"/>
    <mergeCell ref="C2:C3"/>
    <mergeCell ref="D2:D3"/>
    <mergeCell ref="E2:E3"/>
    <mergeCell ref="F2:F3"/>
    <mergeCell ref="G2:G3"/>
  </mergeCells>
  <conditionalFormatting sqref="P4:P12">
    <cfRule type="expression" dxfId="11" priority="1">
      <formula>P4="Awas"</formula>
    </cfRule>
    <cfRule type="expression" dxfId="10" priority="2">
      <formula>P4="Waspada"</formula>
    </cfRule>
    <cfRule type="expression" dxfId="9" priority="3">
      <formula>P4="Siaga"</formula>
    </cfRule>
    <cfRule type="expression" dxfId="8" priority="4">
      <formula>P4="Aman"</formula>
    </cfRule>
  </conditionalFormatting>
  <conditionalFormatting sqref="N4:N12">
    <cfRule type="expression" dxfId="7" priority="5">
      <formula>N4="Awas"</formula>
    </cfRule>
    <cfRule type="expression" dxfId="6" priority="6">
      <formula>N4="Waspada"</formula>
    </cfRule>
    <cfRule type="expression" dxfId="5" priority="7">
      <formula>N4="Siaga"</formula>
    </cfRule>
    <cfRule type="expression" dxfId="4" priority="8">
      <formula>N4="Aman"</formula>
    </cfRule>
  </conditionalFormatting>
  <conditionalFormatting sqref="K4:K12">
    <cfRule type="expression" dxfId="3" priority="9">
      <formula>K4="Awas"</formula>
    </cfRule>
    <cfRule type="expression" dxfId="2" priority="10">
      <formula>K4="Waspada"</formula>
    </cfRule>
    <cfRule type="expression" dxfId="1" priority="11">
      <formula>K4="Siaga"</formula>
    </cfRule>
    <cfRule type="expression" dxfId="0" priority="12">
      <formula>K4="Aman"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>
      <selection activeCell="E2" sqref="E2"/>
    </sheetView>
  </sheetViews>
  <sheetFormatPr defaultRowHeight="14.25"/>
  <cols>
    <col min="1" max="1" width="9.125" style="69" customWidth="1"/>
  </cols>
  <sheetData>
    <row r="1" spans="1:4">
      <c r="A1" s="69" t="s">
        <v>88</v>
      </c>
      <c r="B1">
        <v>0</v>
      </c>
      <c r="C1" t="str">
        <f t="shared" ref="C1:C25" si="0">_xlfn.CONCAT(A1,B1)</f>
        <v>00</v>
      </c>
      <c r="D1" t="s">
        <v>89</v>
      </c>
    </row>
    <row r="2" spans="1:4">
      <c r="A2" s="69" t="s">
        <v>88</v>
      </c>
      <c r="B2">
        <v>1</v>
      </c>
      <c r="C2" t="str">
        <f t="shared" si="0"/>
        <v>01</v>
      </c>
      <c r="D2" t="s">
        <v>90</v>
      </c>
    </row>
    <row r="3" spans="1:4">
      <c r="A3" s="69" t="s">
        <v>88</v>
      </c>
      <c r="B3">
        <v>2</v>
      </c>
      <c r="C3" t="str">
        <f t="shared" si="0"/>
        <v>02</v>
      </c>
      <c r="D3" t="s">
        <v>91</v>
      </c>
    </row>
    <row r="4" spans="1:4">
      <c r="A4" s="69" t="s">
        <v>88</v>
      </c>
      <c r="B4">
        <v>3</v>
      </c>
      <c r="C4" t="str">
        <f t="shared" si="0"/>
        <v>03</v>
      </c>
      <c r="D4" t="s">
        <v>92</v>
      </c>
    </row>
    <row r="5" spans="1:4">
      <c r="A5" s="69" t="s">
        <v>88</v>
      </c>
      <c r="B5">
        <v>9</v>
      </c>
      <c r="C5" t="str">
        <f t="shared" si="0"/>
        <v>09</v>
      </c>
      <c r="D5" t="s">
        <v>93</v>
      </c>
    </row>
    <row r="6" spans="1:4">
      <c r="A6" s="69" t="s">
        <v>94</v>
      </c>
      <c r="B6">
        <v>0</v>
      </c>
      <c r="C6" t="str">
        <f t="shared" si="0"/>
        <v>10</v>
      </c>
      <c r="D6" t="s">
        <v>90</v>
      </c>
    </row>
    <row r="7" spans="1:4">
      <c r="A7" s="69" t="s">
        <v>94</v>
      </c>
      <c r="B7">
        <v>1</v>
      </c>
      <c r="C7" t="str">
        <f t="shared" si="0"/>
        <v>11</v>
      </c>
      <c r="D7" t="s">
        <v>91</v>
      </c>
    </row>
    <row r="8" spans="1:4">
      <c r="A8" s="69" t="s">
        <v>94</v>
      </c>
      <c r="B8">
        <v>2</v>
      </c>
      <c r="C8" t="str">
        <f t="shared" si="0"/>
        <v>12</v>
      </c>
      <c r="D8" t="s">
        <v>91</v>
      </c>
    </row>
    <row r="9" spans="1:4">
      <c r="A9" s="69" t="s">
        <v>94</v>
      </c>
      <c r="B9">
        <v>3</v>
      </c>
      <c r="C9" t="str">
        <f t="shared" si="0"/>
        <v>13</v>
      </c>
      <c r="D9" t="s">
        <v>92</v>
      </c>
    </row>
    <row r="10" spans="1:4">
      <c r="A10" s="69" t="s">
        <v>94</v>
      </c>
      <c r="B10">
        <v>9</v>
      </c>
      <c r="C10" t="str">
        <f t="shared" si="0"/>
        <v>19</v>
      </c>
      <c r="D10" t="s">
        <v>93</v>
      </c>
    </row>
    <row r="11" spans="1:4">
      <c r="A11" s="69" t="s">
        <v>95</v>
      </c>
      <c r="B11">
        <v>0</v>
      </c>
      <c r="C11" t="str">
        <f t="shared" si="0"/>
        <v>20</v>
      </c>
      <c r="D11" t="s">
        <v>91</v>
      </c>
    </row>
    <row r="12" spans="1:4">
      <c r="A12" s="69" t="s">
        <v>95</v>
      </c>
      <c r="B12">
        <v>1</v>
      </c>
      <c r="C12" t="str">
        <f t="shared" si="0"/>
        <v>21</v>
      </c>
      <c r="D12" t="s">
        <v>91</v>
      </c>
    </row>
    <row r="13" spans="1:4">
      <c r="A13" s="69" t="s">
        <v>95</v>
      </c>
      <c r="B13">
        <v>2</v>
      </c>
      <c r="C13" t="str">
        <f t="shared" si="0"/>
        <v>22</v>
      </c>
      <c r="D13" t="s">
        <v>92</v>
      </c>
    </row>
    <row r="14" spans="1:4">
      <c r="A14" s="69" t="s">
        <v>95</v>
      </c>
      <c r="B14">
        <v>3</v>
      </c>
      <c r="C14" t="str">
        <f t="shared" si="0"/>
        <v>23</v>
      </c>
      <c r="D14" t="s">
        <v>92</v>
      </c>
    </row>
    <row r="15" spans="1:4">
      <c r="A15" s="69" t="s">
        <v>95</v>
      </c>
      <c r="B15">
        <v>9</v>
      </c>
      <c r="C15" t="str">
        <f t="shared" si="0"/>
        <v>29</v>
      </c>
      <c r="D15" t="s">
        <v>93</v>
      </c>
    </row>
    <row r="16" spans="1:4">
      <c r="A16" s="69" t="s">
        <v>96</v>
      </c>
      <c r="B16">
        <v>0</v>
      </c>
      <c r="C16" t="str">
        <f t="shared" si="0"/>
        <v>30</v>
      </c>
      <c r="D16" t="s">
        <v>92</v>
      </c>
    </row>
    <row r="17" spans="1:4">
      <c r="A17" s="69" t="s">
        <v>96</v>
      </c>
      <c r="B17">
        <v>1</v>
      </c>
      <c r="C17" t="str">
        <f t="shared" si="0"/>
        <v>31</v>
      </c>
      <c r="D17" t="s">
        <v>92</v>
      </c>
    </row>
    <row r="18" spans="1:4">
      <c r="A18" s="69" t="s">
        <v>96</v>
      </c>
      <c r="B18">
        <v>2</v>
      </c>
      <c r="C18" t="str">
        <f t="shared" si="0"/>
        <v>32</v>
      </c>
      <c r="D18" t="s">
        <v>92</v>
      </c>
    </row>
    <row r="19" spans="1:4">
      <c r="A19" s="69" t="s">
        <v>96</v>
      </c>
      <c r="B19">
        <v>3</v>
      </c>
      <c r="C19" t="str">
        <f t="shared" si="0"/>
        <v>33</v>
      </c>
      <c r="D19" t="s">
        <v>92</v>
      </c>
    </row>
    <row r="20" spans="1:4">
      <c r="A20" s="69" t="s">
        <v>96</v>
      </c>
      <c r="B20">
        <v>9</v>
      </c>
      <c r="C20" t="str">
        <f t="shared" si="0"/>
        <v>39</v>
      </c>
      <c r="D20" t="s">
        <v>93</v>
      </c>
    </row>
    <row r="21" spans="1:4">
      <c r="A21" s="69" t="s">
        <v>97</v>
      </c>
      <c r="B21">
        <v>0</v>
      </c>
      <c r="C21" t="str">
        <f t="shared" si="0"/>
        <v>90</v>
      </c>
      <c r="D21" t="s">
        <v>93</v>
      </c>
    </row>
    <row r="22" spans="1:4">
      <c r="A22" s="69" t="s">
        <v>97</v>
      </c>
      <c r="B22">
        <v>1</v>
      </c>
      <c r="C22" t="str">
        <f t="shared" si="0"/>
        <v>91</v>
      </c>
      <c r="D22" t="s">
        <v>93</v>
      </c>
    </row>
    <row r="23" spans="1:4">
      <c r="A23" s="69" t="s">
        <v>97</v>
      </c>
      <c r="B23">
        <v>2</v>
      </c>
      <c r="C23" t="str">
        <f t="shared" si="0"/>
        <v>92</v>
      </c>
      <c r="D23" t="s">
        <v>93</v>
      </c>
    </row>
    <row r="24" spans="1:4">
      <c r="A24" s="69" t="s">
        <v>97</v>
      </c>
      <c r="B24">
        <v>3</v>
      </c>
      <c r="C24" t="str">
        <f t="shared" si="0"/>
        <v>93</v>
      </c>
      <c r="D24" t="s">
        <v>93</v>
      </c>
    </row>
    <row r="25" spans="1:4">
      <c r="A25" s="69" t="s">
        <v>97</v>
      </c>
      <c r="B25">
        <v>9</v>
      </c>
      <c r="C25" t="str">
        <f t="shared" si="0"/>
        <v>99</v>
      </c>
      <c r="D2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IK</vt:lpstr>
      <vt:lpstr>IA</vt:lpstr>
      <vt:lpstr>IP</vt:lpstr>
      <vt:lpstr>IKB</vt:lpstr>
      <vt:lpstr>BMKG</vt:lpstr>
      <vt:lpstr>PVTX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Mochammad Eko Fadhillah</dc:creator>
  <cp:keywords/>
  <dc:description/>
  <cp:lastModifiedBy>CORE</cp:lastModifiedBy>
  <dcterms:created xsi:type="dcterms:W3CDTF">2024-08-03T15:28:57Z</dcterms:created>
  <dcterms:modified xsi:type="dcterms:W3CDTF">2025-12-31T05:02:09Z</dcterms:modified>
  <cp:category/>
</cp:coreProperties>
</file>