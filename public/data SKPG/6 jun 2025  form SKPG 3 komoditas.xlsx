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0D6CC7DB-7A74-4305-8737-DE8ECB54A5F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14" i="3" l="1"/>
  <c r="F14" i="3"/>
  <c r="G14" i="3"/>
  <c r="D14" i="3"/>
  <c r="H14" i="2" l="1"/>
  <c r="F14" i="2"/>
  <c r="D14" i="2"/>
  <c r="E29" i="9" l="1"/>
  <c r="E28" i="9"/>
  <c r="E27" i="9"/>
  <c r="D29" i="9"/>
  <c r="D28" i="9"/>
  <c r="D27" i="9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<sst xmlns="http://schemas.openxmlformats.org/spreadsheetml/2006/main" count="1215" uniqueCount="630">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</sst>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9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3" xfId="0" applyFont="1" applyBorder="1"/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3" fillId="0" borderId="3" xfId="0" applyFont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  <xf numFmtId="3" fontId="18" fillId="0" borderId="14" xfId="0" applyNumberFormat="1" applyFont="1" applyBorder="1" applyAlignment="1">
      <alignment vertical="center" wrapText="1"/>
    </xf>
    <xf numFmtId="165" fontId="2" fillId="0" borderId="14" xfId="0" applyNumberFormat="1" applyFont="1" applyBorder="1" applyAlignment="1">
      <alignment horizontal="right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21300</c:v>
                </c:pt>
                <c:pt idx="2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15240</c:v>
                </c:pt>
                <c:pt idx="1">
                  <c:v>17250</c:v>
                </c:pt>
                <c:pt idx="2">
                  <c:v>28195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-8.1364829396325451</c:v>
                </c:pt>
                <c:pt idx="1">
                  <c:v>23.478260869565219</c:v>
                </c:pt>
                <c:pt idx="2">
                  <c:v>-0.69161198794112422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287</c:v>
                </c:pt>
                <c:pt idx="1">
                  <c:v>1188</c:v>
                </c:pt>
                <c:pt idx="2">
                  <c:v>24569</c:v>
                </c:pt>
                <c:pt idx="3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576621</xdr:colOff>
      <xdr:row>11</xdr:row>
      <xdr:rowOff>112889</xdr:rowOff>
    </xdr:from>
    <xdr:to>
      <xdr:col>12</xdr:col>
      <xdr:colOff>332303</xdr:colOff>
      <xdr:row>15</xdr:row>
      <xdr:rowOff>82275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038" y="3330222"/>
          <a:ext cx="1607765" cy="68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" sqref="E1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99" t="s">
        <v>0</v>
      </c>
      <c r="B1" s="100"/>
      <c r="C1" s="100"/>
      <c r="D1" s="2" t="s">
        <v>1</v>
      </c>
      <c r="E1" s="3">
        <v>45809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01"/>
      <c r="B2" s="100"/>
      <c r="C2" s="101"/>
      <c r="D2" s="10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02" t="s">
        <v>3</v>
      </c>
      <c r="B3" s="102" t="s">
        <v>4</v>
      </c>
      <c r="C3" s="102" t="s">
        <v>5</v>
      </c>
      <c r="D3" s="105" t="s">
        <v>6</v>
      </c>
      <c r="E3" s="97"/>
      <c r="F3" s="97"/>
      <c r="G3" s="97"/>
      <c r="H3" s="97"/>
      <c r="I3" s="98"/>
      <c r="J3" s="113" t="s">
        <v>7</v>
      </c>
      <c r="K3" s="97"/>
      <c r="L3" s="97"/>
      <c r="M3" s="97"/>
      <c r="N3" s="97"/>
      <c r="O3" s="98"/>
      <c r="P3" s="105" t="s">
        <v>6</v>
      </c>
      <c r="Q3" s="97"/>
      <c r="R3" s="97"/>
      <c r="S3" s="98"/>
      <c r="T3" s="113" t="s">
        <v>7</v>
      </c>
      <c r="U3" s="97"/>
      <c r="V3" s="97"/>
      <c r="W3" s="98"/>
      <c r="X3" s="107" t="s">
        <v>8</v>
      </c>
      <c r="Y3" s="108"/>
      <c r="Z3" s="109"/>
      <c r="AA3" s="6"/>
      <c r="AB3" s="6"/>
    </row>
    <row r="4" spans="1:28" ht="18" customHeight="1" x14ac:dyDescent="0.3">
      <c r="A4" s="103"/>
      <c r="B4" s="103"/>
      <c r="C4" s="103"/>
      <c r="D4" s="105" t="s">
        <v>9</v>
      </c>
      <c r="E4" s="97"/>
      <c r="F4" s="97"/>
      <c r="G4" s="97"/>
      <c r="H4" s="98"/>
      <c r="I4" s="106" t="s">
        <v>10</v>
      </c>
      <c r="J4" s="113" t="s">
        <v>9</v>
      </c>
      <c r="K4" s="97"/>
      <c r="L4" s="97"/>
      <c r="M4" s="97"/>
      <c r="N4" s="98"/>
      <c r="O4" s="114" t="s">
        <v>10</v>
      </c>
      <c r="P4" s="106" t="s">
        <v>11</v>
      </c>
      <c r="Q4" s="105" t="s">
        <v>12</v>
      </c>
      <c r="R4" s="97"/>
      <c r="S4" s="98"/>
      <c r="T4" s="114" t="s">
        <v>11</v>
      </c>
      <c r="U4" s="113" t="s">
        <v>12</v>
      </c>
      <c r="V4" s="97"/>
      <c r="W4" s="98"/>
      <c r="X4" s="110"/>
      <c r="Y4" s="111"/>
      <c r="Z4" s="112"/>
      <c r="AA4" s="6"/>
      <c r="AB4" s="6"/>
    </row>
    <row r="5" spans="1:28" ht="18" customHeight="1" x14ac:dyDescent="0.3">
      <c r="A5" s="104"/>
      <c r="B5" s="104"/>
      <c r="C5" s="104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4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4"/>
      <c r="P5" s="104"/>
      <c r="Q5" s="7" t="s">
        <v>13</v>
      </c>
      <c r="R5" s="7" t="s">
        <v>14</v>
      </c>
      <c r="S5" s="7" t="s">
        <v>15</v>
      </c>
      <c r="T5" s="104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96" t="str">
        <f>B3&amp;""&amp;B6</f>
        <v>PROVINSI</v>
      </c>
      <c r="B39" s="97"/>
      <c r="C39" s="98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I13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99" t="s">
        <v>17</v>
      </c>
      <c r="B1" s="100"/>
      <c r="C1" s="100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26">
        <f>SUM(IK!E1)</f>
        <v>45809</v>
      </c>
      <c r="B2" s="111"/>
      <c r="C2" s="4"/>
      <c r="D2" s="4"/>
      <c r="E2" s="4"/>
      <c r="F2" s="4"/>
      <c r="G2" s="4"/>
      <c r="H2" s="4"/>
      <c r="I2" s="4"/>
      <c r="J2" s="86">
        <f>SUM(IK!E1)</f>
        <v>45809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02" t="s">
        <v>3</v>
      </c>
      <c r="B3" s="102" t="s">
        <v>18</v>
      </c>
      <c r="C3" s="102" t="s">
        <v>19</v>
      </c>
      <c r="D3" s="122" t="s">
        <v>614</v>
      </c>
      <c r="E3" s="106" t="s">
        <v>10</v>
      </c>
      <c r="F3" s="124" t="s">
        <v>615</v>
      </c>
      <c r="G3" s="125" t="s">
        <v>10</v>
      </c>
      <c r="H3" s="118" t="s">
        <v>616</v>
      </c>
      <c r="I3" s="119" t="s">
        <v>10</v>
      </c>
      <c r="J3" s="120" t="s">
        <v>20</v>
      </c>
      <c r="K3" s="121"/>
      <c r="L3" s="120" t="s">
        <v>21</v>
      </c>
      <c r="M3" s="121"/>
      <c r="N3" s="120" t="s">
        <v>22</v>
      </c>
      <c r="O3" s="121"/>
      <c r="P3" s="115" t="s">
        <v>23</v>
      </c>
      <c r="Q3" s="108"/>
      <c r="R3" s="109"/>
      <c r="S3" s="32"/>
    </row>
    <row r="4" spans="1:19" ht="105" customHeight="1" x14ac:dyDescent="0.3">
      <c r="A4" s="103"/>
      <c r="B4" s="103"/>
      <c r="C4" s="103"/>
      <c r="D4" s="110"/>
      <c r="E4" s="104"/>
      <c r="F4" s="110"/>
      <c r="G4" s="104"/>
      <c r="H4" s="110"/>
      <c r="I4" s="104"/>
      <c r="J4" s="116" t="s">
        <v>13</v>
      </c>
      <c r="K4" s="117" t="s">
        <v>14</v>
      </c>
      <c r="L4" s="116" t="s">
        <v>13</v>
      </c>
      <c r="M4" s="117" t="s">
        <v>14</v>
      </c>
      <c r="N4" s="116" t="s">
        <v>13</v>
      </c>
      <c r="O4" s="117" t="s">
        <v>14</v>
      </c>
      <c r="P4" s="110"/>
      <c r="Q4" s="111"/>
      <c r="R4" s="112"/>
      <c r="S4" s="32"/>
    </row>
    <row r="5" spans="1:19" ht="21" customHeight="1" x14ac:dyDescent="0.3">
      <c r="A5" s="104"/>
      <c r="B5" s="104"/>
      <c r="C5" s="104"/>
      <c r="D5" s="33">
        <f>IK!$E$1-360</f>
        <v>45449</v>
      </c>
      <c r="E5" s="33">
        <f>IK!$E$1</f>
        <v>45809</v>
      </c>
      <c r="F5" s="34">
        <f>D5</f>
        <v>45449</v>
      </c>
      <c r="G5" s="35">
        <f>E5</f>
        <v>45809</v>
      </c>
      <c r="H5" s="36">
        <f>F5</f>
        <v>45449</v>
      </c>
      <c r="I5" s="37">
        <f>G5</f>
        <v>45809</v>
      </c>
      <c r="J5" s="104"/>
      <c r="K5" s="104"/>
      <c r="L5" s="104"/>
      <c r="M5" s="104"/>
      <c r="N5" s="104"/>
      <c r="O5" s="104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4">
        <v>16500</v>
      </c>
      <c r="E6" s="13">
        <v>14000</v>
      </c>
      <c r="F6" s="64">
        <v>18000</v>
      </c>
      <c r="G6" s="64">
        <v>22000</v>
      </c>
      <c r="H6" s="64">
        <v>27570</v>
      </c>
      <c r="I6" s="84">
        <v>28000</v>
      </c>
      <c r="J6" s="41">
        <f>IF(ISERROR(((E6-D6)/D6)*100),0,((E6-D6)/D6)*100)</f>
        <v>-15.151515151515152</v>
      </c>
      <c r="K6" s="87">
        <f>IF(J6="","",IF(J6&gt;10,1,IF(J6&lt;5,3,2)))</f>
        <v>3</v>
      </c>
      <c r="L6" s="41">
        <f>IF(ISERROR(((G6-F6)/F6)*100),0,((G6-F6)/F6)*100)</f>
        <v>22.222222222222221</v>
      </c>
      <c r="M6" s="16">
        <f>IF(L6="","",IF(L6&gt;15,1,IF(L6&lt;5,3,2)))</f>
        <v>1</v>
      </c>
      <c r="N6" s="41">
        <f>IF(ISERROR(((I6-H6)/H6)*100),0,((I6-H6)/H6)*100)</f>
        <v>1.5596663039535728</v>
      </c>
      <c r="O6" s="16">
        <f>IF(N6="","",IF(N6&gt;15,1,IF(N6&lt;5,3,2)))</f>
        <v>3</v>
      </c>
      <c r="P6" s="16">
        <f>IF(ISERROR(K6+M6+O6),"",K6+M6+O6)</f>
        <v>7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4">
        <v>16500</v>
      </c>
      <c r="E7" s="13">
        <v>14000</v>
      </c>
      <c r="F7" s="64">
        <v>18000</v>
      </c>
      <c r="G7" s="64">
        <v>22000</v>
      </c>
      <c r="H7" s="64">
        <v>27570</v>
      </c>
      <c r="I7" s="84">
        <v>28000</v>
      </c>
      <c r="J7" s="41">
        <f t="shared" ref="J7:J14" si="0">IF(ISERROR(((E7-D7)/D7)*100),0,((E7-D7)/D7)*100)</f>
        <v>-15.151515151515152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22.222222222222221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1.5596663039535728</v>
      </c>
      <c r="O7" s="16">
        <f t="shared" ref="O7:O14" si="5">IF(N7="","",IF(N7&gt;15,1,IF(N7&lt;5,3,2)))</f>
        <v>3</v>
      </c>
      <c r="P7" s="16">
        <f t="shared" ref="P7:P14" si="6">IF(ISERROR(K7+M7+O7),"",K7+M7+O7)</f>
        <v>7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4">
        <v>15000</v>
      </c>
      <c r="E8" s="13">
        <v>14000</v>
      </c>
      <c r="F8" s="64">
        <v>17000</v>
      </c>
      <c r="G8" s="64">
        <v>21000</v>
      </c>
      <c r="H8" s="64">
        <v>29210</v>
      </c>
      <c r="I8" s="84">
        <v>28400</v>
      </c>
      <c r="J8" s="41">
        <f t="shared" si="0"/>
        <v>-6.666666666666667</v>
      </c>
      <c r="K8" s="87">
        <f t="shared" si="1"/>
        <v>3</v>
      </c>
      <c r="L8" s="41">
        <f t="shared" si="2"/>
        <v>23.52941176470588</v>
      </c>
      <c r="M8" s="16">
        <f t="shared" si="3"/>
        <v>1</v>
      </c>
      <c r="N8" s="41">
        <f t="shared" si="4"/>
        <v>-2.7730229373502224</v>
      </c>
      <c r="O8" s="16">
        <f t="shared" si="5"/>
        <v>3</v>
      </c>
      <c r="P8" s="16">
        <f t="shared" si="6"/>
        <v>7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3">
      <c r="A9" s="40"/>
      <c r="B9" s="40"/>
      <c r="C9" s="40" t="s">
        <v>625</v>
      </c>
      <c r="D9" s="64">
        <v>14730</v>
      </c>
      <c r="E9" s="13">
        <v>13500</v>
      </c>
      <c r="F9" s="64">
        <v>17000</v>
      </c>
      <c r="G9" s="64">
        <v>21300</v>
      </c>
      <c r="H9" s="64">
        <v>28000</v>
      </c>
      <c r="I9" s="84">
        <v>28000</v>
      </c>
      <c r="J9" s="41">
        <f t="shared" si="0"/>
        <v>-8.350305498981669</v>
      </c>
      <c r="K9" s="87">
        <f t="shared" si="1"/>
        <v>3</v>
      </c>
      <c r="L9" s="41">
        <f t="shared" si="2"/>
        <v>25.294117647058822</v>
      </c>
      <c r="M9" s="16">
        <f t="shared" si="3"/>
        <v>1</v>
      </c>
      <c r="N9" s="41">
        <f t="shared" si="4"/>
        <v>0</v>
      </c>
      <c r="O9" s="16">
        <f t="shared" si="5"/>
        <v>3</v>
      </c>
      <c r="P9" s="16">
        <f t="shared" si="6"/>
        <v>7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4">
        <v>14730</v>
      </c>
      <c r="E10" s="13">
        <v>13500</v>
      </c>
      <c r="F10" s="64">
        <v>17000</v>
      </c>
      <c r="G10" s="64">
        <v>21300</v>
      </c>
      <c r="H10" s="64">
        <v>28000</v>
      </c>
      <c r="I10" s="84">
        <v>28000</v>
      </c>
      <c r="J10" s="41">
        <f t="shared" si="0"/>
        <v>-8.350305498981669</v>
      </c>
      <c r="K10" s="87">
        <f t="shared" si="1"/>
        <v>3</v>
      </c>
      <c r="L10" s="41">
        <f t="shared" si="2"/>
        <v>25.294117647058822</v>
      </c>
      <c r="M10" s="16">
        <f t="shared" si="3"/>
        <v>1</v>
      </c>
      <c r="N10" s="41">
        <f t="shared" si="4"/>
        <v>0</v>
      </c>
      <c r="O10" s="16">
        <f t="shared" si="5"/>
        <v>3</v>
      </c>
      <c r="P10" s="16">
        <f t="shared" si="6"/>
        <v>7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4">
        <v>15000</v>
      </c>
      <c r="E11" s="13">
        <v>14000</v>
      </c>
      <c r="F11" s="64">
        <v>17000</v>
      </c>
      <c r="G11" s="64">
        <v>21000</v>
      </c>
      <c r="H11" s="64">
        <v>29210</v>
      </c>
      <c r="I11" s="84">
        <v>28400</v>
      </c>
      <c r="J11" s="41">
        <f t="shared" si="0"/>
        <v>-6.666666666666667</v>
      </c>
      <c r="K11" s="87">
        <f t="shared" si="1"/>
        <v>3</v>
      </c>
      <c r="L11" s="41">
        <f t="shared" si="2"/>
        <v>23.52941176470588</v>
      </c>
      <c r="M11" s="16">
        <f t="shared" si="3"/>
        <v>1</v>
      </c>
      <c r="N11" s="41">
        <f t="shared" si="4"/>
        <v>-2.7730229373502224</v>
      </c>
      <c r="O11" s="16">
        <f t="shared" si="5"/>
        <v>3</v>
      </c>
      <c r="P11" s="16">
        <f t="shared" si="6"/>
        <v>7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3">
      <c r="A12" s="40"/>
      <c r="B12" s="40"/>
      <c r="C12" s="40" t="s">
        <v>628</v>
      </c>
      <c r="D12" s="64">
        <v>14730</v>
      </c>
      <c r="E12" s="13">
        <v>13500</v>
      </c>
      <c r="F12" s="64">
        <v>17000</v>
      </c>
      <c r="G12" s="64">
        <v>21000</v>
      </c>
      <c r="H12" s="64">
        <v>28000</v>
      </c>
      <c r="I12" s="84">
        <v>28000</v>
      </c>
      <c r="J12" s="41">
        <f t="shared" si="0"/>
        <v>-8.350305498981669</v>
      </c>
      <c r="K12" s="87">
        <f t="shared" si="1"/>
        <v>3</v>
      </c>
      <c r="L12" s="41">
        <f t="shared" si="2"/>
        <v>23.52941176470588</v>
      </c>
      <c r="M12" s="16">
        <f t="shared" si="3"/>
        <v>1</v>
      </c>
      <c r="N12" s="41">
        <f t="shared" si="4"/>
        <v>0</v>
      </c>
      <c r="O12" s="16">
        <f t="shared" si="5"/>
        <v>3</v>
      </c>
      <c r="P12" s="16">
        <f t="shared" si="6"/>
        <v>7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4">
        <v>14730</v>
      </c>
      <c r="E13" s="13">
        <v>13500</v>
      </c>
      <c r="F13" s="64">
        <v>17000</v>
      </c>
      <c r="G13" s="64">
        <v>21300</v>
      </c>
      <c r="H13" s="64">
        <v>28000</v>
      </c>
      <c r="I13" s="84">
        <v>28000</v>
      </c>
      <c r="J13" s="41">
        <f t="shared" si="0"/>
        <v>-8.350305498981669</v>
      </c>
      <c r="K13" s="87">
        <f t="shared" si="1"/>
        <v>3</v>
      </c>
      <c r="L13" s="41">
        <f t="shared" si="2"/>
        <v>25.294117647058822</v>
      </c>
      <c r="M13" s="16">
        <f t="shared" si="3"/>
        <v>1</v>
      </c>
      <c r="N13" s="41">
        <f t="shared" si="4"/>
        <v>0</v>
      </c>
      <c r="O13" s="16">
        <f t="shared" si="5"/>
        <v>3</v>
      </c>
      <c r="P13" s="16">
        <f t="shared" si="6"/>
        <v>7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23" t="str">
        <f>B3&amp;" "&amp;B6</f>
        <v>KOTA CILEGON</v>
      </c>
      <c r="B14" s="97"/>
      <c r="C14" s="98"/>
      <c r="D14" s="139">
        <f>AVERAGE(D6:D13)</f>
        <v>15240</v>
      </c>
      <c r="E14" s="22">
        <v>14000</v>
      </c>
      <c r="F14" s="139">
        <f>AVERAGE(F6:F13)</f>
        <v>17250</v>
      </c>
      <c r="G14" s="139">
        <v>21300</v>
      </c>
      <c r="H14" s="139">
        <f>AVERAGE(H6:H13)</f>
        <v>28195</v>
      </c>
      <c r="I14" s="140">
        <v>28000</v>
      </c>
      <c r="J14" s="41">
        <f t="shared" si="0"/>
        <v>-8.1364829396325451</v>
      </c>
      <c r="K14" s="87">
        <f t="shared" si="1"/>
        <v>3</v>
      </c>
      <c r="L14" s="41">
        <f t="shared" si="2"/>
        <v>23.478260869565219</v>
      </c>
      <c r="M14" s="16">
        <f t="shared" si="3"/>
        <v>1</v>
      </c>
      <c r="N14" s="41">
        <f t="shared" si="4"/>
        <v>-0.69161198794112422</v>
      </c>
      <c r="O14" s="16">
        <f t="shared" si="5"/>
        <v>3</v>
      </c>
      <c r="P14" s="16">
        <f t="shared" si="6"/>
        <v>7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A1:C1"/>
    <mergeCell ref="A2:B2"/>
    <mergeCell ref="A3:A5"/>
    <mergeCell ref="B3:B5"/>
    <mergeCell ref="C3:C5"/>
    <mergeCell ref="D3:D4"/>
    <mergeCell ref="E3:E4"/>
    <mergeCell ref="A14:C14"/>
    <mergeCell ref="F3:F4"/>
    <mergeCell ref="G3:G4"/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27" sqref="J27"/>
    </sheetView>
  </sheetViews>
  <sheetFormatPr defaultColWidth="14.44140625" defaultRowHeight="15" customHeight="1" x14ac:dyDescent="0.3"/>
  <cols>
    <col min="1" max="1" width="5.33203125" style="66" customWidth="1"/>
    <col min="2" max="2" width="12.109375" style="66" customWidth="1"/>
    <col min="3" max="3" width="17.44140625" style="66" customWidth="1"/>
    <col min="4" max="4" width="16.33203125" style="66" customWidth="1"/>
    <col min="5" max="5" width="13.5546875" style="66" customWidth="1"/>
    <col min="6" max="6" width="13.33203125" style="66" customWidth="1"/>
    <col min="7" max="9" width="14.33203125" style="66" customWidth="1"/>
    <col min="10" max="11" width="9.6640625" style="66" customWidth="1"/>
    <col min="12" max="12" width="11.33203125" style="66" customWidth="1"/>
    <col min="13" max="26" width="9" style="66" customWidth="1"/>
    <col min="27" max="16384" width="14.44140625" style="66"/>
  </cols>
  <sheetData>
    <row r="1" spans="1:26" ht="14.25" customHeight="1" x14ac:dyDescent="0.35">
      <c r="A1" s="132" t="s">
        <v>28</v>
      </c>
      <c r="B1" s="133"/>
      <c r="C1" s="133"/>
      <c r="D1" s="69"/>
      <c r="E1" s="69"/>
      <c r="F1" s="69"/>
      <c r="G1" s="69"/>
      <c r="H1" s="69"/>
      <c r="I1" s="69"/>
    </row>
    <row r="2" spans="1:26" ht="14.25" customHeight="1" x14ac:dyDescent="0.35">
      <c r="A2" s="134">
        <f>SUM(IK!E1)</f>
        <v>45809</v>
      </c>
      <c r="B2" s="133"/>
      <c r="C2" s="68"/>
      <c r="D2" s="69"/>
      <c r="E2" s="69"/>
      <c r="F2" s="69"/>
      <c r="G2" s="69"/>
      <c r="H2" s="69"/>
      <c r="I2" s="69"/>
    </row>
    <row r="3" spans="1:26" ht="14.25" customHeigh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3">
      <c r="A4" s="135" t="s">
        <v>3</v>
      </c>
      <c r="B4" s="135" t="s">
        <v>18</v>
      </c>
      <c r="C4" s="135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35" t="s">
        <v>34</v>
      </c>
      <c r="J4" s="136" t="s">
        <v>35</v>
      </c>
      <c r="K4" s="130"/>
      <c r="L4" s="131"/>
    </row>
    <row r="5" spans="1:26" ht="30" customHeight="1" x14ac:dyDescent="0.3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3">
      <c r="A6" s="73">
        <v>1</v>
      </c>
      <c r="B6" s="73" t="s">
        <v>27</v>
      </c>
      <c r="C6" s="73" t="s">
        <v>622</v>
      </c>
      <c r="D6" s="74">
        <v>28</v>
      </c>
      <c r="E6" s="74">
        <v>51</v>
      </c>
      <c r="F6" s="74">
        <v>3723</v>
      </c>
      <c r="G6" s="74">
        <v>56</v>
      </c>
      <c r="H6" s="75">
        <f t="shared" ref="H6:H14" si="0">D6+E6</f>
        <v>79</v>
      </c>
      <c r="I6" s="75">
        <f t="shared" ref="I6:I14" si="1">SUM(D6:G6)</f>
        <v>3858</v>
      </c>
      <c r="J6" s="76">
        <f t="shared" ref="J6:J14" si="2">IF(ISERROR((H6/I6)*100),0,((H6/I6)*100))</f>
        <v>2.0476931052358736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3">
      <c r="A7" s="73"/>
      <c r="B7" s="73"/>
      <c r="C7" s="73" t="s">
        <v>623</v>
      </c>
      <c r="D7" s="74">
        <v>32</v>
      </c>
      <c r="E7" s="74">
        <v>187</v>
      </c>
      <c r="F7" s="74">
        <v>4338</v>
      </c>
      <c r="G7" s="74">
        <v>219</v>
      </c>
      <c r="H7" s="75">
        <f t="shared" si="0"/>
        <v>219</v>
      </c>
      <c r="I7" s="75">
        <f t="shared" si="1"/>
        <v>4776</v>
      </c>
      <c r="J7" s="76">
        <f t="shared" si="2"/>
        <v>4.5854271356783913</v>
      </c>
      <c r="K7" s="77">
        <f t="shared" si="3"/>
        <v>3</v>
      </c>
      <c r="L7" s="77" t="str">
        <f t="shared" si="4"/>
        <v>AMAN</v>
      </c>
    </row>
    <row r="8" spans="1:26" ht="14.25" customHeight="1" x14ac:dyDescent="0.3">
      <c r="A8" s="73"/>
      <c r="B8" s="73"/>
      <c r="C8" s="73" t="s">
        <v>624</v>
      </c>
      <c r="D8" s="74">
        <v>44</v>
      </c>
      <c r="E8" s="74">
        <v>199</v>
      </c>
      <c r="F8" s="74">
        <v>2603</v>
      </c>
      <c r="G8" s="74">
        <v>153</v>
      </c>
      <c r="H8" s="75">
        <f t="shared" si="0"/>
        <v>243</v>
      </c>
      <c r="I8" s="75">
        <f t="shared" si="1"/>
        <v>2999</v>
      </c>
      <c r="J8" s="76">
        <f t="shared" si="2"/>
        <v>8.1027009003000998</v>
      </c>
      <c r="K8" s="77">
        <f t="shared" si="3"/>
        <v>3</v>
      </c>
      <c r="L8" s="77" t="str">
        <f t="shared" si="4"/>
        <v>AMAN</v>
      </c>
    </row>
    <row r="9" spans="1:26" ht="14.25" customHeight="1" x14ac:dyDescent="0.3">
      <c r="A9" s="73"/>
      <c r="B9" s="73"/>
      <c r="C9" s="73" t="s">
        <v>625</v>
      </c>
      <c r="D9" s="74">
        <v>31</v>
      </c>
      <c r="E9" s="74">
        <v>112</v>
      </c>
      <c r="F9" s="74">
        <v>2463</v>
      </c>
      <c r="G9" s="74">
        <v>109</v>
      </c>
      <c r="H9" s="75">
        <f t="shared" si="0"/>
        <v>143</v>
      </c>
      <c r="I9" s="75">
        <f t="shared" si="1"/>
        <v>2715</v>
      </c>
      <c r="J9" s="76">
        <f t="shared" si="2"/>
        <v>5.2670349907918972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3">
      <c r="A10" s="73"/>
      <c r="B10" s="73"/>
      <c r="C10" s="73" t="s">
        <v>626</v>
      </c>
      <c r="D10" s="74">
        <v>32</v>
      </c>
      <c r="E10" s="74">
        <v>165</v>
      </c>
      <c r="F10" s="74">
        <v>2192</v>
      </c>
      <c r="G10" s="74">
        <v>213</v>
      </c>
      <c r="H10" s="75">
        <f t="shared" si="0"/>
        <v>197</v>
      </c>
      <c r="I10" s="75">
        <f t="shared" si="1"/>
        <v>2602</v>
      </c>
      <c r="J10" s="76">
        <f t="shared" si="2"/>
        <v>7.5710991544965411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3">
      <c r="A11" s="73"/>
      <c r="B11" s="73"/>
      <c r="C11" s="73" t="s">
        <v>627</v>
      </c>
      <c r="D11" s="74">
        <v>30</v>
      </c>
      <c r="E11" s="74">
        <v>148</v>
      </c>
      <c r="F11" s="74">
        <v>2897</v>
      </c>
      <c r="G11" s="74">
        <v>135</v>
      </c>
      <c r="H11" s="75">
        <f t="shared" si="0"/>
        <v>178</v>
      </c>
      <c r="I11" s="75">
        <f t="shared" si="1"/>
        <v>3210</v>
      </c>
      <c r="J11" s="76">
        <f t="shared" si="2"/>
        <v>5.5451713395638631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3">
      <c r="A12" s="73"/>
      <c r="B12" s="73"/>
      <c r="C12" s="73" t="s">
        <v>628</v>
      </c>
      <c r="D12" s="74">
        <v>26</v>
      </c>
      <c r="E12" s="74">
        <v>122</v>
      </c>
      <c r="F12" s="74">
        <v>3317</v>
      </c>
      <c r="G12" s="74">
        <v>148</v>
      </c>
      <c r="H12" s="75">
        <f t="shared" si="0"/>
        <v>148</v>
      </c>
      <c r="I12" s="75">
        <f t="shared" si="1"/>
        <v>3613</v>
      </c>
      <c r="J12" s="76">
        <f t="shared" si="2"/>
        <v>4.0963188486022695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3">
      <c r="A13" s="73"/>
      <c r="B13" s="73"/>
      <c r="C13" s="73" t="s">
        <v>629</v>
      </c>
      <c r="D13" s="74">
        <v>64</v>
      </c>
      <c r="E13" s="74">
        <v>204</v>
      </c>
      <c r="F13" s="74">
        <v>3036</v>
      </c>
      <c r="G13" s="74">
        <v>93</v>
      </c>
      <c r="H13" s="75">
        <f t="shared" si="0"/>
        <v>268</v>
      </c>
      <c r="I13" s="75">
        <f t="shared" si="1"/>
        <v>3397</v>
      </c>
      <c r="J13" s="76">
        <f t="shared" si="2"/>
        <v>7.8893141006770682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3">
      <c r="A14" s="129" t="str">
        <f>B4&amp;" "&amp;B6</f>
        <v>KOTA CILEGON</v>
      </c>
      <c r="B14" s="130"/>
      <c r="C14" s="131"/>
      <c r="D14" s="78">
        <f>SUM(D6:D13)</f>
        <v>287</v>
      </c>
      <c r="E14" s="78">
        <f t="shared" ref="E14:G14" si="5">SUM(E6:E13)</f>
        <v>1188</v>
      </c>
      <c r="F14" s="78">
        <f t="shared" si="5"/>
        <v>24569</v>
      </c>
      <c r="G14" s="78">
        <f t="shared" si="5"/>
        <v>1126</v>
      </c>
      <c r="H14" s="79">
        <f t="shared" si="0"/>
        <v>1475</v>
      </c>
      <c r="I14" s="79">
        <f t="shared" si="1"/>
        <v>27170</v>
      </c>
      <c r="J14" s="80">
        <f t="shared" si="2"/>
        <v>5.4287817445712188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6" t="s">
        <v>36</v>
      </c>
      <c r="E17" s="66" t="s">
        <v>37</v>
      </c>
    </row>
    <row r="18" spans="4:6" ht="14.25" customHeight="1" x14ac:dyDescent="0.3">
      <c r="D18" s="66" t="s">
        <v>29</v>
      </c>
      <c r="E18" s="67">
        <f>SUM(D14)</f>
        <v>287</v>
      </c>
      <c r="F18" s="62">
        <f t="array" ref="F18">SUM((E18:E19)/I14)*100</f>
        <v>5.4287817445712179</v>
      </c>
    </row>
    <row r="19" spans="4:6" ht="14.25" customHeight="1" x14ac:dyDescent="0.3">
      <c r="D19" s="66" t="s">
        <v>30</v>
      </c>
      <c r="E19" s="67">
        <f>SUM(E14)</f>
        <v>1188</v>
      </c>
      <c r="F19" s="62"/>
    </row>
    <row r="20" spans="4:6" ht="14.25" customHeight="1" x14ac:dyDescent="0.3">
      <c r="D20" s="66" t="s">
        <v>31</v>
      </c>
      <c r="E20" s="67">
        <f>SUM(F14)</f>
        <v>24569</v>
      </c>
      <c r="F20" s="62"/>
    </row>
    <row r="21" spans="4:6" ht="14.25" customHeight="1" x14ac:dyDescent="0.3">
      <c r="D21" s="66" t="s">
        <v>32</v>
      </c>
      <c r="E21" s="67">
        <f>SUM(G14)</f>
        <v>1126</v>
      </c>
      <c r="F21" s="62"/>
    </row>
    <row r="22" spans="4:6" ht="14.25" customHeight="1" x14ac:dyDescent="0.3">
      <c r="F22" s="62"/>
    </row>
    <row r="23" spans="4:6" ht="14.25" customHeight="1" x14ac:dyDescent="0.3">
      <c r="F23" s="62"/>
    </row>
    <row r="24" spans="4:6" ht="14.25" customHeight="1" x14ac:dyDescent="0.3">
      <c r="F24" s="62"/>
    </row>
    <row r="25" spans="4:6" ht="14.25" customHeight="1" x14ac:dyDescent="0.3">
      <c r="E25" s="62"/>
      <c r="F25" s="62"/>
    </row>
    <row r="26" spans="4:6" ht="14.25" customHeight="1" x14ac:dyDescent="0.3">
      <c r="E26" s="62"/>
      <c r="F26" s="62"/>
    </row>
    <row r="27" spans="4:6" ht="14.25" customHeight="1" x14ac:dyDescent="0.3">
      <c r="E27" s="62"/>
      <c r="F27" s="62"/>
    </row>
    <row r="28" spans="4:6" ht="14.25" customHeight="1" x14ac:dyDescent="0.3">
      <c r="E28" s="63">
        <f>SUM(E18:E19)</f>
        <v>1475</v>
      </c>
      <c r="F28" s="62"/>
    </row>
    <row r="29" spans="4:6" ht="14.25" customHeight="1" x14ac:dyDescent="0.3">
      <c r="E29" s="62"/>
      <c r="F29" s="62"/>
    </row>
    <row r="30" spans="4:6" ht="14.25" customHeight="1" x14ac:dyDescent="0.3">
      <c r="E30" s="62"/>
      <c r="F30" s="62"/>
    </row>
    <row r="31" spans="4:6" ht="14.25" customHeight="1" x14ac:dyDescent="0.3">
      <c r="E31" s="62">
        <f>SUM(E20/I14)</f>
        <v>0.90426941479573053</v>
      </c>
      <c r="F31" s="62"/>
    </row>
    <row r="32" spans="4:6" ht="14.25" customHeight="1" x14ac:dyDescent="0.3">
      <c r="E32" s="62">
        <f>SUM(E28/I14)</f>
        <v>5.4287817445712185E-2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2">
        <f>SUM(E21/I14)</f>
        <v>4.1442767758557229E-2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6" customFormat="1" ht="14.25" customHeight="1" x14ac:dyDescent="0.3"/>
    <row r="50" s="66" customFormat="1" ht="14.25" customHeight="1" x14ac:dyDescent="0.3"/>
    <row r="51" s="66" customFormat="1" ht="14.25" customHeight="1" x14ac:dyDescent="0.3"/>
    <row r="52" s="66" customFormat="1" ht="14.25" customHeight="1" x14ac:dyDescent="0.3"/>
    <row r="53" s="66" customFormat="1" ht="14.25" customHeight="1" x14ac:dyDescent="0.3"/>
    <row r="54" s="66" customFormat="1" ht="14.25" customHeight="1" x14ac:dyDescent="0.3"/>
    <row r="55" s="66" customFormat="1" ht="14.25" customHeight="1" x14ac:dyDescent="0.3"/>
    <row r="56" s="66" customFormat="1" ht="14.25" customHeight="1" x14ac:dyDescent="0.3"/>
    <row r="57" s="66" customFormat="1" ht="14.25" customHeight="1" x14ac:dyDescent="0.3"/>
    <row r="58" s="66" customFormat="1" ht="14.25" customHeight="1" x14ac:dyDescent="0.3"/>
    <row r="59" s="66" customFormat="1" ht="14.25" customHeight="1" x14ac:dyDescent="0.3"/>
    <row r="60" s="66" customFormat="1" ht="14.25" customHeight="1" x14ac:dyDescent="0.3"/>
    <row r="61" s="66" customFormat="1" ht="14.25" customHeight="1" x14ac:dyDescent="0.3"/>
    <row r="62" s="66" customFormat="1" ht="14.25" customHeight="1" x14ac:dyDescent="0.3"/>
    <row r="63" s="66" customFormat="1" ht="14.25" customHeight="1" x14ac:dyDescent="0.3"/>
    <row r="64" s="66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6" t="s">
        <v>38</v>
      </c>
    </row>
    <row r="76" spans="6:9" ht="14.25" customHeight="1" x14ac:dyDescent="0.3"/>
    <row r="77" spans="6:9" ht="14.25" customHeight="1" x14ac:dyDescent="0.3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3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3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3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3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3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3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3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6" customFormat="1" ht="14.25" customHeight="1" x14ac:dyDescent="0.3"/>
    <row r="98" s="66" customFormat="1" ht="14.25" customHeight="1" x14ac:dyDescent="0.3"/>
    <row r="99" s="66" customFormat="1" ht="14.25" customHeight="1" x14ac:dyDescent="0.3"/>
    <row r="100" s="66" customFormat="1" ht="14.25" customHeight="1" x14ac:dyDescent="0.3"/>
    <row r="101" s="66" customFormat="1" ht="14.25" customHeight="1" x14ac:dyDescent="0.3"/>
    <row r="102" s="66" customFormat="1" ht="14.25" customHeight="1" x14ac:dyDescent="0.3"/>
    <row r="103" s="66" customFormat="1" ht="14.25" customHeight="1" x14ac:dyDescent="0.3"/>
    <row r="104" s="66" customFormat="1" ht="14.25" customHeight="1" x14ac:dyDescent="0.3"/>
    <row r="105" s="66" customFormat="1" ht="14.25" customHeight="1" x14ac:dyDescent="0.3"/>
    <row r="106" s="66" customFormat="1" ht="14.25" customHeight="1" x14ac:dyDescent="0.3"/>
    <row r="107" s="66" customFormat="1" ht="14.25" customHeight="1" x14ac:dyDescent="0.3"/>
    <row r="108" s="66" customFormat="1" ht="14.25" customHeight="1" x14ac:dyDescent="0.3"/>
    <row r="109" s="66" customFormat="1" ht="14.25" customHeight="1" x14ac:dyDescent="0.3"/>
    <row r="110" s="66" customFormat="1" ht="14.25" customHeight="1" x14ac:dyDescent="0.3"/>
    <row r="111" s="66" customFormat="1" ht="14.25" customHeight="1" x14ac:dyDescent="0.3"/>
    <row r="112" s="66" customFormat="1" ht="14.25" customHeight="1" x14ac:dyDescent="0.3"/>
    <row r="113" s="66" customFormat="1" ht="14.25" customHeight="1" x14ac:dyDescent="0.3"/>
    <row r="114" s="66" customFormat="1" ht="14.25" customHeight="1" x14ac:dyDescent="0.3"/>
    <row r="115" s="66" customFormat="1" ht="14.25" customHeight="1" x14ac:dyDescent="0.3"/>
    <row r="116" s="66" customFormat="1" ht="14.25" customHeight="1" x14ac:dyDescent="0.3"/>
    <row r="117" s="66" customFormat="1" ht="14.25" customHeight="1" x14ac:dyDescent="0.3"/>
    <row r="118" s="66" customFormat="1" ht="14.25" customHeight="1" x14ac:dyDescent="0.3"/>
    <row r="119" s="66" customFormat="1" ht="14.25" customHeight="1" x14ac:dyDescent="0.3"/>
    <row r="120" s="66" customFormat="1" ht="14.25" customHeight="1" x14ac:dyDescent="0.3"/>
    <row r="121" s="66" customFormat="1" ht="14.25" customHeight="1" x14ac:dyDescent="0.3"/>
    <row r="122" s="66" customFormat="1" ht="14.25" customHeight="1" x14ac:dyDescent="0.3"/>
    <row r="123" s="66" customFormat="1" ht="14.25" customHeight="1" x14ac:dyDescent="0.3"/>
    <row r="124" s="66" customFormat="1" ht="14.25" customHeight="1" x14ac:dyDescent="0.3"/>
    <row r="125" s="66" customFormat="1" ht="14.25" customHeight="1" x14ac:dyDescent="0.3"/>
    <row r="126" s="66" customFormat="1" ht="14.25" customHeight="1" x14ac:dyDescent="0.3"/>
    <row r="127" s="66" customFormat="1" ht="14.25" customHeight="1" x14ac:dyDescent="0.3"/>
    <row r="128" s="66" customFormat="1" ht="14.25" customHeight="1" x14ac:dyDescent="0.3"/>
    <row r="129" s="66" customFormat="1" ht="14.25" customHeight="1" x14ac:dyDescent="0.3"/>
    <row r="130" s="66" customFormat="1" ht="14.25" customHeight="1" x14ac:dyDescent="0.3"/>
    <row r="131" s="66" customFormat="1" ht="14.25" customHeight="1" x14ac:dyDescent="0.3"/>
    <row r="132" s="66" customFormat="1" ht="14.25" customHeight="1" x14ac:dyDescent="0.3"/>
    <row r="133" s="66" customFormat="1" ht="14.25" customHeight="1" x14ac:dyDescent="0.3"/>
    <row r="134" s="66" customFormat="1" ht="14.25" customHeight="1" x14ac:dyDescent="0.3"/>
    <row r="135" s="66" customFormat="1" ht="14.25" customHeight="1" x14ac:dyDescent="0.3"/>
    <row r="136" s="66" customFormat="1" ht="14.25" customHeight="1" x14ac:dyDescent="0.3"/>
    <row r="137" s="66" customFormat="1" ht="14.25" customHeight="1" x14ac:dyDescent="0.3"/>
    <row r="138" s="66" customFormat="1" ht="14.25" customHeight="1" x14ac:dyDescent="0.3"/>
    <row r="139" s="66" customFormat="1" ht="14.25" customHeight="1" x14ac:dyDescent="0.3"/>
    <row r="140" s="66" customFormat="1" ht="14.25" customHeight="1" x14ac:dyDescent="0.3"/>
    <row r="141" s="66" customFormat="1" ht="14.25" customHeight="1" x14ac:dyDescent="0.3"/>
    <row r="142" s="66" customFormat="1" ht="14.25" customHeight="1" x14ac:dyDescent="0.3"/>
    <row r="143" s="66" customFormat="1" ht="14.25" customHeight="1" x14ac:dyDescent="0.3"/>
    <row r="144" s="66" customFormat="1" ht="14.25" customHeight="1" x14ac:dyDescent="0.3"/>
    <row r="145" s="66" customFormat="1" ht="14.25" customHeight="1" x14ac:dyDescent="0.3"/>
    <row r="146" s="66" customFormat="1" ht="14.25" customHeight="1" x14ac:dyDescent="0.3"/>
    <row r="147" s="66" customFormat="1" ht="14.25" customHeight="1" x14ac:dyDescent="0.3"/>
    <row r="148" s="66" customFormat="1" ht="14.25" customHeight="1" x14ac:dyDescent="0.3"/>
    <row r="149" s="66" customFormat="1" ht="14.25" customHeight="1" x14ac:dyDescent="0.3"/>
    <row r="150" s="66" customFormat="1" ht="14.25" customHeight="1" x14ac:dyDescent="0.3"/>
    <row r="151" s="66" customFormat="1" ht="14.25" customHeight="1" x14ac:dyDescent="0.3"/>
    <row r="152" s="66" customFormat="1" ht="14.25" customHeight="1" x14ac:dyDescent="0.3"/>
    <row r="153" s="66" customFormat="1" ht="14.25" customHeight="1" x14ac:dyDescent="0.3"/>
    <row r="154" s="66" customFormat="1" ht="14.25" customHeight="1" x14ac:dyDescent="0.3"/>
    <row r="155" s="66" customFormat="1" ht="14.25" customHeight="1" x14ac:dyDescent="0.3"/>
    <row r="156" s="66" customFormat="1" ht="14.25" customHeight="1" x14ac:dyDescent="0.3"/>
    <row r="157" s="66" customFormat="1" ht="14.25" customHeight="1" x14ac:dyDescent="0.3"/>
    <row r="158" s="66" customFormat="1" ht="14.25" customHeight="1" x14ac:dyDescent="0.3"/>
    <row r="159" s="66" customFormat="1" ht="14.25" customHeight="1" x14ac:dyDescent="0.3"/>
    <row r="160" s="66" customFormat="1" ht="14.25" customHeight="1" x14ac:dyDescent="0.3"/>
    <row r="161" s="66" customFormat="1" ht="14.25" customHeight="1" x14ac:dyDescent="0.3"/>
    <row r="162" s="66" customFormat="1" ht="14.25" customHeight="1" x14ac:dyDescent="0.3"/>
    <row r="163" s="66" customFormat="1" ht="14.25" customHeight="1" x14ac:dyDescent="0.3"/>
    <row r="164" s="66" customFormat="1" ht="14.25" customHeight="1" x14ac:dyDescent="0.3"/>
    <row r="165" s="66" customFormat="1" ht="14.25" customHeight="1" x14ac:dyDescent="0.3"/>
    <row r="166" s="66" customFormat="1" ht="14.25" customHeight="1" x14ac:dyDescent="0.3"/>
    <row r="167" s="66" customFormat="1" ht="14.25" customHeight="1" x14ac:dyDescent="0.3"/>
    <row r="168" s="66" customFormat="1" ht="14.25" customHeight="1" x14ac:dyDescent="0.3"/>
    <row r="169" s="66" customFormat="1" ht="14.25" customHeight="1" x14ac:dyDescent="0.3"/>
    <row r="170" s="66" customFormat="1" ht="14.25" customHeight="1" x14ac:dyDescent="0.3"/>
    <row r="171" s="66" customFormat="1" ht="14.25" customHeight="1" x14ac:dyDescent="0.3"/>
    <row r="172" s="66" customFormat="1" ht="14.25" customHeight="1" x14ac:dyDescent="0.3"/>
    <row r="173" s="66" customFormat="1" ht="14.25" customHeight="1" x14ac:dyDescent="0.3"/>
    <row r="174" s="66" customFormat="1" ht="14.25" customHeight="1" x14ac:dyDescent="0.3"/>
    <row r="175" s="66" customFormat="1" ht="14.25" customHeight="1" x14ac:dyDescent="0.3"/>
    <row r="176" s="66" customFormat="1" ht="14.25" customHeight="1" x14ac:dyDescent="0.3"/>
    <row r="177" s="66" customFormat="1" ht="14.25" customHeight="1" x14ac:dyDescent="0.3"/>
    <row r="178" s="66" customFormat="1" ht="14.25" customHeight="1" x14ac:dyDescent="0.3"/>
    <row r="179" s="66" customFormat="1" ht="14.25" customHeight="1" x14ac:dyDescent="0.3"/>
    <row r="180" s="66" customFormat="1" ht="14.25" customHeight="1" x14ac:dyDescent="0.3"/>
    <row r="181" s="66" customFormat="1" ht="14.25" customHeight="1" x14ac:dyDescent="0.3"/>
    <row r="182" s="66" customFormat="1" ht="14.25" customHeight="1" x14ac:dyDescent="0.3"/>
    <row r="183" s="66" customFormat="1" ht="14.25" customHeight="1" x14ac:dyDescent="0.3"/>
    <row r="184" s="66" customFormat="1" ht="14.25" customHeight="1" x14ac:dyDescent="0.3"/>
    <row r="185" s="66" customFormat="1" ht="14.25" customHeight="1" x14ac:dyDescent="0.3"/>
    <row r="186" s="66" customFormat="1" ht="14.25" customHeight="1" x14ac:dyDescent="0.3"/>
    <row r="187" s="66" customFormat="1" ht="14.25" customHeight="1" x14ac:dyDescent="0.3"/>
    <row r="188" s="66" customFormat="1" ht="14.25" customHeight="1" x14ac:dyDescent="0.3"/>
    <row r="189" s="66" customFormat="1" ht="14.25" customHeight="1" x14ac:dyDescent="0.3"/>
    <row r="190" s="66" customFormat="1" ht="14.25" customHeight="1" x14ac:dyDescent="0.3"/>
    <row r="191" s="66" customFormat="1" ht="14.25" customHeight="1" x14ac:dyDescent="0.3"/>
    <row r="192" s="66" customFormat="1" ht="14.25" customHeight="1" x14ac:dyDescent="0.3"/>
    <row r="193" s="66" customFormat="1" ht="14.25" customHeight="1" x14ac:dyDescent="0.3"/>
    <row r="194" s="66" customFormat="1" ht="14.25" customHeight="1" x14ac:dyDescent="0.3"/>
    <row r="195" s="66" customFormat="1" ht="14.25" customHeight="1" x14ac:dyDescent="0.3"/>
    <row r="196" s="66" customFormat="1" ht="14.25" customHeight="1" x14ac:dyDescent="0.3"/>
    <row r="197" s="66" customFormat="1" ht="14.25" customHeight="1" x14ac:dyDescent="0.3"/>
    <row r="198" s="66" customFormat="1" ht="14.25" customHeight="1" x14ac:dyDescent="0.3"/>
    <row r="199" s="66" customFormat="1" ht="14.25" customHeight="1" x14ac:dyDescent="0.3"/>
    <row r="200" s="66" customFormat="1" ht="14.25" customHeight="1" x14ac:dyDescent="0.3"/>
    <row r="201" s="66" customFormat="1" ht="14.25" customHeight="1" x14ac:dyDescent="0.3"/>
    <row r="202" s="66" customFormat="1" ht="14.25" customHeight="1" x14ac:dyDescent="0.3"/>
    <row r="203" s="66" customFormat="1" ht="14.25" customHeight="1" x14ac:dyDescent="0.3"/>
    <row r="204" s="66" customFormat="1" ht="14.25" customHeight="1" x14ac:dyDescent="0.3"/>
    <row r="205" s="66" customFormat="1" ht="14.25" customHeight="1" x14ac:dyDescent="0.3"/>
    <row r="206" s="66" customFormat="1" ht="14.25" customHeight="1" x14ac:dyDescent="0.3"/>
    <row r="207" s="66" customFormat="1" ht="14.25" customHeight="1" x14ac:dyDescent="0.3"/>
    <row r="208" s="66" customFormat="1" ht="14.25" customHeight="1" x14ac:dyDescent="0.3"/>
    <row r="209" s="66" customFormat="1" ht="14.25" customHeight="1" x14ac:dyDescent="0.3"/>
    <row r="210" s="66" customFormat="1" ht="14.25" customHeight="1" x14ac:dyDescent="0.3"/>
    <row r="211" s="66" customFormat="1" ht="14.25" customHeight="1" x14ac:dyDescent="0.3"/>
    <row r="212" s="66" customFormat="1" ht="14.25" customHeight="1" x14ac:dyDescent="0.3"/>
    <row r="213" s="66" customFormat="1" ht="14.25" customHeight="1" x14ac:dyDescent="0.3"/>
    <row r="214" s="66" customFormat="1" ht="14.25" customHeight="1" x14ac:dyDescent="0.3"/>
    <row r="215" s="66" customFormat="1" ht="14.25" customHeight="1" x14ac:dyDescent="0.3"/>
    <row r="216" s="66" customFormat="1" ht="14.25" customHeight="1" x14ac:dyDescent="0.3"/>
    <row r="217" s="66" customFormat="1" ht="14.25" customHeight="1" x14ac:dyDescent="0.3"/>
    <row r="218" s="66" customFormat="1" ht="14.25" customHeight="1" x14ac:dyDescent="0.3"/>
    <row r="219" s="66" customFormat="1" ht="14.25" customHeight="1" x14ac:dyDescent="0.3"/>
    <row r="220" s="66" customFormat="1" ht="14.25" customHeight="1" x14ac:dyDescent="0.3"/>
    <row r="221" s="66" customFormat="1" ht="14.25" customHeight="1" x14ac:dyDescent="0.3"/>
    <row r="222" s="66" customFormat="1" ht="14.25" customHeight="1" x14ac:dyDescent="0.3"/>
    <row r="223" s="66" customFormat="1" ht="14.25" customHeight="1" x14ac:dyDescent="0.3"/>
    <row r="224" s="66" customFormat="1" ht="14.25" customHeight="1" x14ac:dyDescent="0.3"/>
    <row r="225" s="66" customFormat="1" ht="14.25" customHeight="1" x14ac:dyDescent="0.3"/>
    <row r="226" s="66" customFormat="1" ht="14.25" customHeight="1" x14ac:dyDescent="0.3"/>
    <row r="227" s="66" customFormat="1" ht="14.25" customHeight="1" x14ac:dyDescent="0.3"/>
    <row r="228" s="66" customFormat="1" ht="14.25" customHeight="1" x14ac:dyDescent="0.3"/>
    <row r="229" s="66" customFormat="1" ht="14.25" customHeight="1" x14ac:dyDescent="0.3"/>
    <row r="230" s="66" customFormat="1" ht="14.25" customHeight="1" x14ac:dyDescent="0.3"/>
    <row r="231" s="66" customFormat="1" ht="14.25" customHeight="1" x14ac:dyDescent="0.3"/>
    <row r="232" s="66" customFormat="1" ht="14.25" customHeight="1" x14ac:dyDescent="0.3"/>
    <row r="233" s="66" customFormat="1" ht="14.25" customHeight="1" x14ac:dyDescent="0.3"/>
    <row r="234" s="66" customFormat="1" ht="14.25" customHeight="1" x14ac:dyDescent="0.3"/>
    <row r="235" s="66" customFormat="1" ht="14.25" customHeight="1" x14ac:dyDescent="0.3"/>
    <row r="236" s="66" customFormat="1" ht="14.25" customHeight="1" x14ac:dyDescent="0.3"/>
    <row r="237" s="66" customFormat="1" ht="14.25" customHeight="1" x14ac:dyDescent="0.3"/>
    <row r="238" s="66" customFormat="1" ht="14.25" customHeight="1" x14ac:dyDescent="0.3"/>
    <row r="239" s="66" customFormat="1" ht="14.25" customHeight="1" x14ac:dyDescent="0.3"/>
    <row r="240" s="66" customFormat="1" ht="14.25" customHeight="1" x14ac:dyDescent="0.3"/>
    <row r="241" s="66" customFormat="1" ht="14.25" customHeight="1" x14ac:dyDescent="0.3"/>
    <row r="242" s="66" customFormat="1" ht="14.25" customHeight="1" x14ac:dyDescent="0.3"/>
    <row r="243" s="66" customFormat="1" ht="14.25" customHeight="1" x14ac:dyDescent="0.3"/>
    <row r="244" s="66" customFormat="1" ht="14.25" customHeight="1" x14ac:dyDescent="0.3"/>
    <row r="245" s="66" customFormat="1" ht="14.25" customHeight="1" x14ac:dyDescent="0.3"/>
    <row r="246" s="66" customFormat="1" ht="14.25" customHeight="1" x14ac:dyDescent="0.3"/>
    <row r="247" s="66" customFormat="1" ht="14.25" customHeight="1" x14ac:dyDescent="0.3"/>
    <row r="248" s="66" customFormat="1" ht="14.25" customHeight="1" x14ac:dyDescent="0.3"/>
    <row r="249" s="66" customFormat="1" ht="14.25" customHeight="1" x14ac:dyDescent="0.3"/>
    <row r="250" s="66" customFormat="1" ht="14.25" customHeight="1" x14ac:dyDescent="0.3"/>
    <row r="251" s="66" customFormat="1" ht="14.25" customHeight="1" x14ac:dyDescent="0.3"/>
    <row r="252" s="66" customFormat="1" ht="14.25" customHeight="1" x14ac:dyDescent="0.3"/>
    <row r="253" s="66" customFormat="1" ht="14.25" customHeight="1" x14ac:dyDescent="0.3"/>
    <row r="254" s="66" customFormat="1" ht="14.25" customHeight="1" x14ac:dyDescent="0.3"/>
    <row r="255" s="66" customFormat="1" ht="14.25" customHeight="1" x14ac:dyDescent="0.3"/>
    <row r="256" s="66" customFormat="1" ht="14.25" customHeight="1" x14ac:dyDescent="0.3"/>
    <row r="257" s="66" customFormat="1" ht="14.25" customHeight="1" x14ac:dyDescent="0.3"/>
    <row r="258" s="66" customFormat="1" ht="14.25" customHeight="1" x14ac:dyDescent="0.3"/>
    <row r="259" s="66" customFormat="1" ht="14.25" customHeight="1" x14ac:dyDescent="0.3"/>
    <row r="260" s="66" customFormat="1" ht="14.25" customHeight="1" x14ac:dyDescent="0.3"/>
    <row r="261" s="66" customFormat="1" ht="14.25" customHeight="1" x14ac:dyDescent="0.3"/>
    <row r="262" s="66" customFormat="1" ht="14.25" customHeight="1" x14ac:dyDescent="0.3"/>
    <row r="263" s="66" customFormat="1" ht="14.25" customHeight="1" x14ac:dyDescent="0.3"/>
    <row r="264" s="66" customFormat="1" ht="14.25" customHeight="1" x14ac:dyDescent="0.3"/>
    <row r="265" s="66" customFormat="1" ht="14.25" customHeight="1" x14ac:dyDescent="0.3"/>
    <row r="266" s="66" customFormat="1" ht="14.25" customHeight="1" x14ac:dyDescent="0.3"/>
    <row r="267" s="66" customFormat="1" ht="14.25" customHeight="1" x14ac:dyDescent="0.3"/>
    <row r="268" s="66" customFormat="1" ht="14.25" customHeight="1" x14ac:dyDescent="0.3"/>
    <row r="269" s="66" customFormat="1" ht="14.25" customHeight="1" x14ac:dyDescent="0.3"/>
    <row r="270" s="66" customFormat="1" ht="14.25" customHeight="1" x14ac:dyDescent="0.3"/>
    <row r="271" s="66" customFormat="1" ht="14.25" customHeight="1" x14ac:dyDescent="0.3"/>
    <row r="272" s="66" customFormat="1" ht="14.25" customHeight="1" x14ac:dyDescent="0.3"/>
    <row r="273" s="66" customFormat="1" ht="14.25" customHeight="1" x14ac:dyDescent="0.3"/>
    <row r="274" s="66" customFormat="1" ht="14.25" customHeight="1" x14ac:dyDescent="0.3"/>
    <row r="275" s="66" customFormat="1" ht="14.25" customHeight="1" x14ac:dyDescent="0.3"/>
    <row r="276" s="66" customFormat="1" ht="14.25" customHeight="1" x14ac:dyDescent="0.3"/>
    <row r="277" s="66" customFormat="1" ht="14.25" customHeight="1" x14ac:dyDescent="0.3"/>
    <row r="278" s="66" customFormat="1" ht="14.25" customHeight="1" x14ac:dyDescent="0.3"/>
    <row r="279" s="66" customFormat="1" ht="14.25" customHeight="1" x14ac:dyDescent="0.3"/>
    <row r="280" s="66" customFormat="1" ht="14.25" customHeight="1" x14ac:dyDescent="0.3"/>
    <row r="281" s="66" customFormat="1" ht="14.25" customHeight="1" x14ac:dyDescent="0.3"/>
    <row r="282" s="66" customFormat="1" ht="14.25" customHeight="1" x14ac:dyDescent="0.3"/>
    <row r="283" s="66" customFormat="1" ht="14.25" customHeight="1" x14ac:dyDescent="0.3"/>
    <row r="284" s="66" customFormat="1" ht="14.25" customHeight="1" x14ac:dyDescent="0.3"/>
    <row r="285" s="66" customFormat="1" ht="14.25" customHeight="1" x14ac:dyDescent="0.3"/>
    <row r="286" s="66" customFormat="1" ht="14.25" customHeight="1" x14ac:dyDescent="0.3"/>
    <row r="287" s="66" customFormat="1" ht="14.25" customHeight="1" x14ac:dyDescent="0.3"/>
    <row r="288" s="66" customFormat="1" ht="14.25" customHeight="1" x14ac:dyDescent="0.3"/>
    <row r="289" s="66" customFormat="1" ht="14.25" customHeight="1" x14ac:dyDescent="0.3"/>
    <row r="290" s="66" customFormat="1" ht="14.25" customHeight="1" x14ac:dyDescent="0.3"/>
    <row r="291" s="66" customFormat="1" ht="14.25" customHeight="1" x14ac:dyDescent="0.3"/>
    <row r="292" s="66" customFormat="1" ht="14.25" customHeight="1" x14ac:dyDescent="0.3"/>
    <row r="293" s="66" customFormat="1" ht="14.25" customHeight="1" x14ac:dyDescent="0.3"/>
    <row r="294" s="66" customFormat="1" ht="14.25" customHeight="1" x14ac:dyDescent="0.3"/>
    <row r="295" s="66" customFormat="1" ht="14.25" customHeight="1" x14ac:dyDescent="0.3"/>
    <row r="296" s="66" customFormat="1" ht="14.25" customHeight="1" x14ac:dyDescent="0.3"/>
    <row r="297" s="66" customFormat="1" ht="14.25" customHeight="1" x14ac:dyDescent="0.3"/>
    <row r="298" s="66" customFormat="1" ht="14.25" customHeight="1" x14ac:dyDescent="0.3"/>
    <row r="299" s="66" customFormat="1" ht="14.25" customHeight="1" x14ac:dyDescent="0.3"/>
    <row r="300" s="66" customFormat="1" ht="14.25" customHeight="1" x14ac:dyDescent="0.3"/>
    <row r="301" s="66" customFormat="1" ht="14.25" customHeight="1" x14ac:dyDescent="0.3"/>
    <row r="302" s="66" customFormat="1" ht="14.25" customHeight="1" x14ac:dyDescent="0.3"/>
    <row r="303" s="66" customFormat="1" ht="14.25" customHeight="1" x14ac:dyDescent="0.3"/>
    <row r="304" s="66" customFormat="1" ht="14.25" customHeight="1" x14ac:dyDescent="0.3"/>
    <row r="305" s="66" customFormat="1" ht="14.25" customHeight="1" x14ac:dyDescent="0.3"/>
    <row r="306" s="66" customFormat="1" ht="14.25" customHeight="1" x14ac:dyDescent="0.3"/>
    <row r="307" s="66" customFormat="1" ht="14.25" customHeight="1" x14ac:dyDescent="0.3"/>
    <row r="308" s="66" customFormat="1" ht="14.25" customHeight="1" x14ac:dyDescent="0.3"/>
    <row r="309" s="66" customFormat="1" ht="14.25" customHeight="1" x14ac:dyDescent="0.3"/>
    <row r="310" s="66" customFormat="1" ht="14.25" customHeight="1" x14ac:dyDescent="0.3"/>
    <row r="311" s="66" customFormat="1" ht="14.25" customHeight="1" x14ac:dyDescent="0.3"/>
    <row r="312" s="66" customFormat="1" ht="14.25" customHeight="1" x14ac:dyDescent="0.3"/>
    <row r="313" s="66" customFormat="1" ht="14.25" customHeight="1" x14ac:dyDescent="0.3"/>
    <row r="314" s="66" customFormat="1" ht="14.25" customHeight="1" x14ac:dyDescent="0.3"/>
    <row r="315" s="66" customFormat="1" ht="14.25" customHeight="1" x14ac:dyDescent="0.3"/>
    <row r="316" s="66" customFormat="1" ht="14.25" customHeight="1" x14ac:dyDescent="0.3"/>
    <row r="317" s="66" customFormat="1" ht="14.25" customHeight="1" x14ac:dyDescent="0.3"/>
    <row r="318" s="66" customFormat="1" ht="14.25" customHeight="1" x14ac:dyDescent="0.3"/>
    <row r="319" s="66" customFormat="1" ht="14.25" customHeight="1" x14ac:dyDescent="0.3"/>
    <row r="320" s="66" customFormat="1" ht="14.25" customHeight="1" x14ac:dyDescent="0.3"/>
    <row r="321" s="66" customFormat="1" ht="14.25" customHeight="1" x14ac:dyDescent="0.3"/>
    <row r="322" s="66" customFormat="1" ht="14.25" customHeight="1" x14ac:dyDescent="0.3"/>
    <row r="323" s="66" customFormat="1" ht="14.25" customHeight="1" x14ac:dyDescent="0.3"/>
    <row r="324" s="66" customFormat="1" ht="14.25" customHeight="1" x14ac:dyDescent="0.3"/>
    <row r="325" s="66" customFormat="1" ht="14.25" customHeight="1" x14ac:dyDescent="0.3"/>
    <row r="326" s="66" customFormat="1" ht="14.25" customHeight="1" x14ac:dyDescent="0.3"/>
    <row r="327" s="66" customFormat="1" ht="14.25" customHeight="1" x14ac:dyDescent="0.3"/>
    <row r="328" s="66" customFormat="1" ht="14.25" customHeight="1" x14ac:dyDescent="0.3"/>
    <row r="329" s="66" customFormat="1" ht="14.25" customHeight="1" x14ac:dyDescent="0.3"/>
    <row r="330" s="66" customFormat="1" ht="14.25" customHeight="1" x14ac:dyDescent="0.3"/>
    <row r="331" s="66" customFormat="1" ht="14.25" customHeight="1" x14ac:dyDescent="0.3"/>
    <row r="332" s="66" customFormat="1" ht="14.25" customHeight="1" x14ac:dyDescent="0.3"/>
    <row r="333" s="66" customFormat="1" ht="14.25" customHeight="1" x14ac:dyDescent="0.3"/>
    <row r="334" s="66" customFormat="1" ht="14.25" customHeight="1" x14ac:dyDescent="0.3"/>
    <row r="335" s="66" customFormat="1" ht="14.25" customHeight="1" x14ac:dyDescent="0.3"/>
    <row r="336" s="66" customFormat="1" ht="14.25" customHeight="1" x14ac:dyDescent="0.3"/>
    <row r="337" s="66" customFormat="1" ht="14.25" customHeight="1" x14ac:dyDescent="0.3"/>
    <row r="338" s="66" customFormat="1" ht="14.25" customHeight="1" x14ac:dyDescent="0.3"/>
    <row r="339" s="66" customFormat="1" ht="14.25" customHeight="1" x14ac:dyDescent="0.3"/>
    <row r="340" s="66" customFormat="1" ht="14.25" customHeight="1" x14ac:dyDescent="0.3"/>
    <row r="341" s="66" customFormat="1" ht="14.25" customHeight="1" x14ac:dyDescent="0.3"/>
    <row r="342" s="66" customFormat="1" ht="14.25" customHeight="1" x14ac:dyDescent="0.3"/>
    <row r="343" s="66" customFormat="1" ht="14.25" customHeight="1" x14ac:dyDescent="0.3"/>
    <row r="344" s="66" customFormat="1" ht="14.25" customHeight="1" x14ac:dyDescent="0.3"/>
    <row r="345" s="66" customFormat="1" ht="14.25" customHeight="1" x14ac:dyDescent="0.3"/>
    <row r="346" s="66" customFormat="1" ht="14.25" customHeight="1" x14ac:dyDescent="0.3"/>
    <row r="347" s="66" customFormat="1" ht="14.25" customHeight="1" x14ac:dyDescent="0.3"/>
    <row r="348" s="66" customFormat="1" ht="14.25" customHeight="1" x14ac:dyDescent="0.3"/>
    <row r="349" s="66" customFormat="1" ht="14.25" customHeight="1" x14ac:dyDescent="0.3"/>
    <row r="350" s="66" customFormat="1" ht="14.25" customHeight="1" x14ac:dyDescent="0.3"/>
    <row r="351" s="66" customFormat="1" ht="14.25" customHeight="1" x14ac:dyDescent="0.3"/>
    <row r="352" s="66" customFormat="1" ht="14.25" customHeight="1" x14ac:dyDescent="0.3"/>
    <row r="353" s="66" customFormat="1" ht="14.25" customHeight="1" x14ac:dyDescent="0.3"/>
    <row r="354" s="66" customFormat="1" ht="14.25" customHeight="1" x14ac:dyDescent="0.3"/>
    <row r="355" s="66" customFormat="1" ht="14.25" customHeight="1" x14ac:dyDescent="0.3"/>
    <row r="356" s="66" customFormat="1" ht="14.25" customHeight="1" x14ac:dyDescent="0.3"/>
    <row r="357" s="66" customFormat="1" ht="14.25" customHeight="1" x14ac:dyDescent="0.3"/>
    <row r="358" s="66" customFormat="1" ht="14.25" customHeight="1" x14ac:dyDescent="0.3"/>
    <row r="359" s="66" customFormat="1" ht="14.25" customHeight="1" x14ac:dyDescent="0.3"/>
    <row r="360" s="66" customFormat="1" ht="14.25" customHeight="1" x14ac:dyDescent="0.3"/>
    <row r="361" s="66" customFormat="1" ht="14.25" customHeight="1" x14ac:dyDescent="0.3"/>
    <row r="362" s="66" customFormat="1" ht="14.25" customHeight="1" x14ac:dyDescent="0.3"/>
    <row r="363" s="66" customFormat="1" ht="14.25" customHeight="1" x14ac:dyDescent="0.3"/>
    <row r="364" s="66" customFormat="1" ht="14.25" customHeight="1" x14ac:dyDescent="0.3"/>
    <row r="365" s="66" customFormat="1" ht="14.25" customHeight="1" x14ac:dyDescent="0.3"/>
    <row r="366" s="66" customFormat="1" ht="14.25" customHeight="1" x14ac:dyDescent="0.3"/>
    <row r="367" s="66" customFormat="1" ht="14.25" customHeight="1" x14ac:dyDescent="0.3"/>
    <row r="368" s="66" customFormat="1" ht="14.25" customHeight="1" x14ac:dyDescent="0.3"/>
    <row r="369" s="66" customFormat="1" ht="14.25" customHeight="1" x14ac:dyDescent="0.3"/>
    <row r="370" s="66" customFormat="1" ht="14.25" customHeight="1" x14ac:dyDescent="0.3"/>
    <row r="371" s="66" customFormat="1" ht="14.25" customHeight="1" x14ac:dyDescent="0.3"/>
    <row r="372" s="66" customFormat="1" ht="14.25" customHeight="1" x14ac:dyDescent="0.3"/>
    <row r="373" s="66" customFormat="1" ht="14.25" customHeight="1" x14ac:dyDescent="0.3"/>
    <row r="374" s="66" customFormat="1" ht="14.25" customHeight="1" x14ac:dyDescent="0.3"/>
    <row r="375" s="66" customFormat="1" ht="14.25" customHeight="1" x14ac:dyDescent="0.3"/>
    <row r="376" s="66" customFormat="1" ht="14.25" customHeight="1" x14ac:dyDescent="0.3"/>
    <row r="377" s="66" customFormat="1" ht="14.25" customHeight="1" x14ac:dyDescent="0.3"/>
    <row r="378" s="66" customFormat="1" ht="14.25" customHeight="1" x14ac:dyDescent="0.3"/>
    <row r="379" s="66" customFormat="1" ht="14.25" customHeight="1" x14ac:dyDescent="0.3"/>
    <row r="380" s="66" customFormat="1" ht="14.25" customHeight="1" x14ac:dyDescent="0.3"/>
    <row r="381" s="66" customFormat="1" ht="14.25" customHeight="1" x14ac:dyDescent="0.3"/>
    <row r="382" s="66" customFormat="1" ht="14.25" customHeight="1" x14ac:dyDescent="0.3"/>
    <row r="383" s="66" customFormat="1" ht="14.25" customHeight="1" x14ac:dyDescent="0.3"/>
    <row r="384" s="66" customFormat="1" ht="14.25" customHeight="1" x14ac:dyDescent="0.3"/>
    <row r="385" s="66" customFormat="1" ht="14.25" customHeight="1" x14ac:dyDescent="0.3"/>
    <row r="386" s="66" customFormat="1" ht="14.25" customHeight="1" x14ac:dyDescent="0.3"/>
    <row r="387" s="66" customFormat="1" ht="14.25" customHeight="1" x14ac:dyDescent="0.3"/>
    <row r="388" s="66" customFormat="1" ht="14.25" customHeight="1" x14ac:dyDescent="0.3"/>
    <row r="389" s="66" customFormat="1" ht="14.25" customHeight="1" x14ac:dyDescent="0.3"/>
    <row r="390" s="66" customFormat="1" ht="14.25" customHeight="1" x14ac:dyDescent="0.3"/>
    <row r="391" s="66" customFormat="1" ht="14.25" customHeight="1" x14ac:dyDescent="0.3"/>
    <row r="392" s="66" customFormat="1" ht="14.25" customHeight="1" x14ac:dyDescent="0.3"/>
    <row r="393" s="66" customFormat="1" ht="14.25" customHeight="1" x14ac:dyDescent="0.3"/>
    <row r="394" s="66" customFormat="1" ht="14.25" customHeight="1" x14ac:dyDescent="0.3"/>
    <row r="395" s="66" customFormat="1" ht="14.25" customHeight="1" x14ac:dyDescent="0.3"/>
    <row r="396" s="66" customFormat="1" ht="14.25" customHeight="1" x14ac:dyDescent="0.3"/>
    <row r="397" s="66" customFormat="1" ht="14.25" customHeight="1" x14ac:dyDescent="0.3"/>
    <row r="398" s="66" customFormat="1" ht="14.25" customHeight="1" x14ac:dyDescent="0.3"/>
    <row r="399" s="66" customFormat="1" ht="14.25" customHeight="1" x14ac:dyDescent="0.3"/>
    <row r="400" s="66" customFormat="1" ht="14.25" customHeight="1" x14ac:dyDescent="0.3"/>
    <row r="401" s="66" customFormat="1" ht="14.25" customHeight="1" x14ac:dyDescent="0.3"/>
    <row r="402" s="66" customFormat="1" ht="14.25" customHeight="1" x14ac:dyDescent="0.3"/>
    <row r="403" s="66" customFormat="1" ht="14.25" customHeight="1" x14ac:dyDescent="0.3"/>
    <row r="404" s="66" customFormat="1" ht="14.25" customHeight="1" x14ac:dyDescent="0.3"/>
    <row r="405" s="66" customFormat="1" ht="14.25" customHeight="1" x14ac:dyDescent="0.3"/>
    <row r="406" s="66" customFormat="1" ht="14.25" customHeight="1" x14ac:dyDescent="0.3"/>
    <row r="407" s="66" customFormat="1" ht="14.25" customHeight="1" x14ac:dyDescent="0.3"/>
    <row r="408" s="66" customFormat="1" ht="14.25" customHeight="1" x14ac:dyDescent="0.3"/>
    <row r="409" s="66" customFormat="1" ht="14.25" customHeight="1" x14ac:dyDescent="0.3"/>
    <row r="410" s="66" customFormat="1" ht="14.25" customHeight="1" x14ac:dyDescent="0.3"/>
    <row r="411" s="66" customFormat="1" ht="14.25" customHeight="1" x14ac:dyDescent="0.3"/>
    <row r="412" s="66" customFormat="1" ht="14.25" customHeight="1" x14ac:dyDescent="0.3"/>
    <row r="413" s="66" customFormat="1" ht="14.25" customHeight="1" x14ac:dyDescent="0.3"/>
    <row r="414" s="66" customFormat="1" ht="14.25" customHeight="1" x14ac:dyDescent="0.3"/>
    <row r="415" s="66" customFormat="1" ht="14.25" customHeight="1" x14ac:dyDescent="0.3"/>
    <row r="416" s="66" customFormat="1" ht="14.25" customHeight="1" x14ac:dyDescent="0.3"/>
    <row r="417" s="66" customFormat="1" ht="14.25" customHeight="1" x14ac:dyDescent="0.3"/>
    <row r="418" s="66" customFormat="1" ht="14.25" customHeight="1" x14ac:dyDescent="0.3"/>
    <row r="419" s="66" customFormat="1" ht="14.25" customHeight="1" x14ac:dyDescent="0.3"/>
    <row r="420" s="66" customFormat="1" ht="14.25" customHeight="1" x14ac:dyDescent="0.3"/>
    <row r="421" s="66" customFormat="1" ht="14.25" customHeight="1" x14ac:dyDescent="0.3"/>
    <row r="422" s="66" customFormat="1" ht="14.25" customHeight="1" x14ac:dyDescent="0.3"/>
    <row r="423" s="66" customFormat="1" ht="14.25" customHeight="1" x14ac:dyDescent="0.3"/>
    <row r="424" s="66" customFormat="1" ht="14.25" customHeight="1" x14ac:dyDescent="0.3"/>
    <row r="425" s="66" customFormat="1" ht="14.25" customHeight="1" x14ac:dyDescent="0.3"/>
    <row r="426" s="66" customFormat="1" ht="14.25" customHeight="1" x14ac:dyDescent="0.3"/>
    <row r="427" s="66" customFormat="1" ht="14.25" customHeight="1" x14ac:dyDescent="0.3"/>
    <row r="428" s="66" customFormat="1" ht="14.25" customHeight="1" x14ac:dyDescent="0.3"/>
    <row r="429" s="66" customFormat="1" ht="14.25" customHeight="1" x14ac:dyDescent="0.3"/>
    <row r="430" s="66" customFormat="1" ht="14.25" customHeight="1" x14ac:dyDescent="0.3"/>
    <row r="431" s="66" customFormat="1" ht="14.25" customHeight="1" x14ac:dyDescent="0.3"/>
    <row r="432" s="66" customFormat="1" ht="14.25" customHeight="1" x14ac:dyDescent="0.3"/>
    <row r="433" s="66" customFormat="1" ht="14.25" customHeight="1" x14ac:dyDescent="0.3"/>
    <row r="434" s="66" customFormat="1" ht="14.25" customHeight="1" x14ac:dyDescent="0.3"/>
    <row r="435" s="66" customFormat="1" ht="14.25" customHeight="1" x14ac:dyDescent="0.3"/>
    <row r="436" s="66" customFormat="1" ht="14.25" customHeight="1" x14ac:dyDescent="0.3"/>
    <row r="437" s="66" customFormat="1" ht="14.25" customHeight="1" x14ac:dyDescent="0.3"/>
    <row r="438" s="66" customFormat="1" ht="14.25" customHeight="1" x14ac:dyDescent="0.3"/>
    <row r="439" s="66" customFormat="1" ht="14.25" customHeight="1" x14ac:dyDescent="0.3"/>
    <row r="440" s="66" customFormat="1" ht="14.25" customHeight="1" x14ac:dyDescent="0.3"/>
    <row r="441" s="66" customFormat="1" ht="14.25" customHeight="1" x14ac:dyDescent="0.3"/>
    <row r="442" s="66" customFormat="1" ht="14.25" customHeight="1" x14ac:dyDescent="0.3"/>
    <row r="443" s="66" customFormat="1" ht="14.25" customHeight="1" x14ac:dyDescent="0.3"/>
    <row r="444" s="66" customFormat="1" ht="14.25" customHeight="1" x14ac:dyDescent="0.3"/>
    <row r="445" s="66" customFormat="1" ht="14.25" customHeight="1" x14ac:dyDescent="0.3"/>
    <row r="446" s="66" customFormat="1" ht="14.25" customHeight="1" x14ac:dyDescent="0.3"/>
    <row r="447" s="66" customFormat="1" ht="14.25" customHeight="1" x14ac:dyDescent="0.3"/>
    <row r="448" s="66" customFormat="1" ht="14.25" customHeight="1" x14ac:dyDescent="0.3"/>
    <row r="449" s="66" customFormat="1" ht="14.25" customHeight="1" x14ac:dyDescent="0.3"/>
    <row r="450" s="66" customFormat="1" ht="14.25" customHeight="1" x14ac:dyDescent="0.3"/>
    <row r="451" s="66" customFormat="1" ht="14.25" customHeight="1" x14ac:dyDescent="0.3"/>
    <row r="452" s="66" customFormat="1" ht="14.25" customHeight="1" x14ac:dyDescent="0.3"/>
    <row r="453" s="66" customFormat="1" ht="14.25" customHeight="1" x14ac:dyDescent="0.3"/>
    <row r="454" s="66" customFormat="1" ht="14.25" customHeight="1" x14ac:dyDescent="0.3"/>
    <row r="455" s="66" customFormat="1" ht="14.25" customHeight="1" x14ac:dyDescent="0.3"/>
    <row r="456" s="66" customFormat="1" ht="14.25" customHeight="1" x14ac:dyDescent="0.3"/>
    <row r="457" s="66" customFormat="1" ht="14.25" customHeight="1" x14ac:dyDescent="0.3"/>
    <row r="458" s="66" customFormat="1" ht="14.25" customHeight="1" x14ac:dyDescent="0.3"/>
    <row r="459" s="66" customFormat="1" ht="14.25" customHeight="1" x14ac:dyDescent="0.3"/>
    <row r="460" s="66" customFormat="1" ht="14.25" customHeight="1" x14ac:dyDescent="0.3"/>
    <row r="461" s="66" customFormat="1" ht="14.25" customHeight="1" x14ac:dyDescent="0.3"/>
    <row r="462" s="66" customFormat="1" ht="14.25" customHeight="1" x14ac:dyDescent="0.3"/>
    <row r="463" s="66" customFormat="1" ht="14.25" customHeight="1" x14ac:dyDescent="0.3"/>
    <row r="464" s="66" customFormat="1" ht="14.25" customHeight="1" x14ac:dyDescent="0.3"/>
    <row r="465" s="66" customFormat="1" ht="14.25" customHeight="1" x14ac:dyDescent="0.3"/>
    <row r="466" s="66" customFormat="1" ht="14.25" customHeight="1" x14ac:dyDescent="0.3"/>
    <row r="467" s="66" customFormat="1" ht="14.25" customHeight="1" x14ac:dyDescent="0.3"/>
    <row r="468" s="66" customFormat="1" ht="14.25" customHeight="1" x14ac:dyDescent="0.3"/>
    <row r="469" s="66" customFormat="1" ht="14.25" customHeight="1" x14ac:dyDescent="0.3"/>
    <row r="470" s="66" customFormat="1" ht="14.25" customHeight="1" x14ac:dyDescent="0.3"/>
    <row r="471" s="66" customFormat="1" ht="14.25" customHeight="1" x14ac:dyDescent="0.3"/>
    <row r="472" s="66" customFormat="1" ht="14.25" customHeight="1" x14ac:dyDescent="0.3"/>
    <row r="473" s="66" customFormat="1" ht="14.25" customHeight="1" x14ac:dyDescent="0.3"/>
    <row r="474" s="66" customFormat="1" ht="14.25" customHeight="1" x14ac:dyDescent="0.3"/>
    <row r="475" s="66" customFormat="1" ht="14.25" customHeight="1" x14ac:dyDescent="0.3"/>
    <row r="476" s="66" customFormat="1" ht="14.25" customHeight="1" x14ac:dyDescent="0.3"/>
    <row r="477" s="66" customFormat="1" ht="14.25" customHeight="1" x14ac:dyDescent="0.3"/>
    <row r="478" s="66" customFormat="1" ht="14.25" customHeight="1" x14ac:dyDescent="0.3"/>
    <row r="479" s="66" customFormat="1" ht="14.25" customHeight="1" x14ac:dyDescent="0.3"/>
    <row r="480" s="66" customFormat="1" ht="14.25" customHeight="1" x14ac:dyDescent="0.3"/>
    <row r="481" s="66" customFormat="1" ht="14.25" customHeight="1" x14ac:dyDescent="0.3"/>
    <row r="482" s="66" customFormat="1" ht="14.25" customHeight="1" x14ac:dyDescent="0.3"/>
    <row r="483" s="66" customFormat="1" ht="14.25" customHeight="1" x14ac:dyDescent="0.3"/>
    <row r="484" s="66" customFormat="1" ht="14.25" customHeight="1" x14ac:dyDescent="0.3"/>
    <row r="485" s="66" customFormat="1" ht="14.25" customHeight="1" x14ac:dyDescent="0.3"/>
    <row r="486" s="66" customFormat="1" ht="14.25" customHeight="1" x14ac:dyDescent="0.3"/>
    <row r="487" s="66" customFormat="1" ht="14.25" customHeight="1" x14ac:dyDescent="0.3"/>
    <row r="488" s="66" customFormat="1" ht="14.25" customHeight="1" x14ac:dyDescent="0.3"/>
    <row r="489" s="66" customFormat="1" ht="14.25" customHeight="1" x14ac:dyDescent="0.3"/>
    <row r="490" s="66" customFormat="1" ht="14.25" customHeight="1" x14ac:dyDescent="0.3"/>
    <row r="491" s="66" customFormat="1" ht="14.25" customHeight="1" x14ac:dyDescent="0.3"/>
    <row r="492" s="66" customFormat="1" ht="14.25" customHeight="1" x14ac:dyDescent="0.3"/>
    <row r="493" s="66" customFormat="1" ht="14.25" customHeight="1" x14ac:dyDescent="0.3"/>
    <row r="494" s="66" customFormat="1" ht="14.25" customHeight="1" x14ac:dyDescent="0.3"/>
    <row r="495" s="66" customFormat="1" ht="14.25" customHeight="1" x14ac:dyDescent="0.3"/>
    <row r="496" s="66" customFormat="1" ht="14.25" customHeight="1" x14ac:dyDescent="0.3"/>
    <row r="497" s="66" customFormat="1" ht="14.25" customHeight="1" x14ac:dyDescent="0.3"/>
    <row r="498" s="66" customFormat="1" ht="14.25" customHeight="1" x14ac:dyDescent="0.3"/>
    <row r="499" s="66" customFormat="1" ht="14.25" customHeight="1" x14ac:dyDescent="0.3"/>
    <row r="500" s="66" customFormat="1" ht="14.25" customHeight="1" x14ac:dyDescent="0.3"/>
    <row r="501" s="66" customFormat="1" ht="14.25" customHeight="1" x14ac:dyDescent="0.3"/>
    <row r="502" s="66" customFormat="1" ht="14.25" customHeight="1" x14ac:dyDescent="0.3"/>
    <row r="503" s="66" customFormat="1" ht="14.25" customHeight="1" x14ac:dyDescent="0.3"/>
    <row r="504" s="66" customFormat="1" ht="14.25" customHeight="1" x14ac:dyDescent="0.3"/>
    <row r="505" s="66" customFormat="1" ht="14.25" customHeight="1" x14ac:dyDescent="0.3"/>
    <row r="506" s="66" customFormat="1" ht="14.25" customHeight="1" x14ac:dyDescent="0.3"/>
    <row r="507" s="66" customFormat="1" ht="14.25" customHeight="1" x14ac:dyDescent="0.3"/>
    <row r="508" s="66" customFormat="1" ht="14.25" customHeight="1" x14ac:dyDescent="0.3"/>
    <row r="509" s="66" customFormat="1" ht="14.25" customHeight="1" x14ac:dyDescent="0.3"/>
    <row r="510" s="66" customFormat="1" ht="14.25" customHeight="1" x14ac:dyDescent="0.3"/>
    <row r="511" s="66" customFormat="1" ht="14.25" customHeight="1" x14ac:dyDescent="0.3"/>
    <row r="512" s="66" customFormat="1" ht="14.25" customHeight="1" x14ac:dyDescent="0.3"/>
    <row r="513" s="66" customFormat="1" ht="14.25" customHeight="1" x14ac:dyDescent="0.3"/>
    <row r="514" s="66" customFormat="1" ht="14.25" customHeight="1" x14ac:dyDescent="0.3"/>
    <row r="515" s="66" customFormat="1" ht="14.25" customHeight="1" x14ac:dyDescent="0.3"/>
    <row r="516" s="66" customFormat="1" ht="14.25" customHeight="1" x14ac:dyDescent="0.3"/>
    <row r="517" s="66" customFormat="1" ht="14.25" customHeight="1" x14ac:dyDescent="0.3"/>
    <row r="518" s="66" customFormat="1" ht="14.25" customHeight="1" x14ac:dyDescent="0.3"/>
    <row r="519" s="66" customFormat="1" ht="14.25" customHeight="1" x14ac:dyDescent="0.3"/>
    <row r="520" s="66" customFormat="1" ht="14.25" customHeight="1" x14ac:dyDescent="0.3"/>
    <row r="521" s="66" customFormat="1" ht="14.25" customHeight="1" x14ac:dyDescent="0.3"/>
    <row r="522" s="66" customFormat="1" ht="14.25" customHeight="1" x14ac:dyDescent="0.3"/>
    <row r="523" s="66" customFormat="1" ht="14.25" customHeight="1" x14ac:dyDescent="0.3"/>
    <row r="524" s="66" customFormat="1" ht="14.25" customHeight="1" x14ac:dyDescent="0.3"/>
    <row r="525" s="66" customFormat="1" ht="14.25" customHeight="1" x14ac:dyDescent="0.3"/>
    <row r="526" s="66" customFormat="1" ht="14.25" customHeight="1" x14ac:dyDescent="0.3"/>
    <row r="527" s="66" customFormat="1" ht="14.25" customHeight="1" x14ac:dyDescent="0.3"/>
    <row r="528" s="66" customFormat="1" ht="14.25" customHeight="1" x14ac:dyDescent="0.3"/>
    <row r="529" s="66" customFormat="1" ht="14.25" customHeight="1" x14ac:dyDescent="0.3"/>
    <row r="530" s="66" customFormat="1" ht="14.25" customHeight="1" x14ac:dyDescent="0.3"/>
    <row r="531" s="66" customFormat="1" ht="14.25" customHeight="1" x14ac:dyDescent="0.3"/>
    <row r="532" s="66" customFormat="1" ht="14.25" customHeight="1" x14ac:dyDescent="0.3"/>
    <row r="533" s="66" customFormat="1" ht="14.25" customHeight="1" x14ac:dyDescent="0.3"/>
    <row r="534" s="66" customFormat="1" ht="14.25" customHeight="1" x14ac:dyDescent="0.3"/>
    <row r="535" s="66" customFormat="1" ht="14.25" customHeight="1" x14ac:dyDescent="0.3"/>
    <row r="536" s="66" customFormat="1" ht="14.25" customHeight="1" x14ac:dyDescent="0.3"/>
    <row r="537" s="66" customFormat="1" ht="14.25" customHeight="1" x14ac:dyDescent="0.3"/>
    <row r="538" s="66" customFormat="1" ht="14.25" customHeight="1" x14ac:dyDescent="0.3"/>
    <row r="539" s="66" customFormat="1" ht="14.25" customHeight="1" x14ac:dyDescent="0.3"/>
    <row r="540" s="66" customFormat="1" ht="14.25" customHeight="1" x14ac:dyDescent="0.3"/>
    <row r="541" s="66" customFormat="1" ht="14.25" customHeight="1" x14ac:dyDescent="0.3"/>
    <row r="542" s="66" customFormat="1" ht="14.25" customHeight="1" x14ac:dyDescent="0.3"/>
    <row r="543" s="66" customFormat="1" ht="14.25" customHeight="1" x14ac:dyDescent="0.3"/>
    <row r="544" s="66" customFormat="1" ht="14.25" customHeight="1" x14ac:dyDescent="0.3"/>
    <row r="545" s="66" customFormat="1" ht="14.25" customHeight="1" x14ac:dyDescent="0.3"/>
    <row r="546" s="66" customFormat="1" ht="14.25" customHeight="1" x14ac:dyDescent="0.3"/>
    <row r="547" s="66" customFormat="1" ht="14.25" customHeight="1" x14ac:dyDescent="0.3"/>
    <row r="548" s="66" customFormat="1" ht="14.25" customHeight="1" x14ac:dyDescent="0.3"/>
    <row r="549" s="66" customFormat="1" ht="14.25" customHeight="1" x14ac:dyDescent="0.3"/>
    <row r="550" s="66" customFormat="1" ht="14.25" customHeight="1" x14ac:dyDescent="0.3"/>
    <row r="551" s="66" customFormat="1" ht="14.25" customHeight="1" x14ac:dyDescent="0.3"/>
    <row r="552" s="66" customFormat="1" ht="14.25" customHeight="1" x14ac:dyDescent="0.3"/>
    <row r="553" s="66" customFormat="1" ht="14.25" customHeight="1" x14ac:dyDescent="0.3"/>
    <row r="554" s="66" customFormat="1" ht="14.25" customHeight="1" x14ac:dyDescent="0.3"/>
    <row r="555" s="66" customFormat="1" ht="14.25" customHeight="1" x14ac:dyDescent="0.3"/>
    <row r="556" s="66" customFormat="1" ht="14.25" customHeight="1" x14ac:dyDescent="0.3"/>
    <row r="557" s="66" customFormat="1" ht="14.25" customHeight="1" x14ac:dyDescent="0.3"/>
    <row r="558" s="66" customFormat="1" ht="14.25" customHeight="1" x14ac:dyDescent="0.3"/>
    <row r="559" s="66" customFormat="1" ht="14.25" customHeight="1" x14ac:dyDescent="0.3"/>
    <row r="560" s="66" customFormat="1" ht="14.25" customHeight="1" x14ac:dyDescent="0.3"/>
    <row r="561" s="66" customFormat="1" ht="14.25" customHeight="1" x14ac:dyDescent="0.3"/>
    <row r="562" s="66" customFormat="1" ht="14.25" customHeight="1" x14ac:dyDescent="0.3"/>
    <row r="563" s="66" customFormat="1" ht="14.25" customHeight="1" x14ac:dyDescent="0.3"/>
    <row r="564" s="66" customFormat="1" ht="14.25" customHeight="1" x14ac:dyDescent="0.3"/>
    <row r="565" s="66" customFormat="1" ht="14.25" customHeight="1" x14ac:dyDescent="0.3"/>
    <row r="566" s="66" customFormat="1" ht="14.25" customHeight="1" x14ac:dyDescent="0.3"/>
    <row r="567" s="66" customFormat="1" ht="14.25" customHeight="1" x14ac:dyDescent="0.3"/>
    <row r="568" s="66" customFormat="1" ht="14.25" customHeight="1" x14ac:dyDescent="0.3"/>
    <row r="569" s="66" customFormat="1" ht="14.25" customHeight="1" x14ac:dyDescent="0.3"/>
    <row r="570" s="66" customFormat="1" ht="14.25" customHeight="1" x14ac:dyDescent="0.3"/>
    <row r="571" s="66" customFormat="1" ht="14.25" customHeight="1" x14ac:dyDescent="0.3"/>
    <row r="572" s="66" customFormat="1" ht="14.25" customHeight="1" x14ac:dyDescent="0.3"/>
    <row r="573" s="66" customFormat="1" ht="14.25" customHeight="1" x14ac:dyDescent="0.3"/>
    <row r="574" s="66" customFormat="1" ht="14.25" customHeight="1" x14ac:dyDescent="0.3"/>
    <row r="575" s="66" customFormat="1" ht="14.25" customHeight="1" x14ac:dyDescent="0.3"/>
    <row r="576" s="66" customFormat="1" ht="14.25" customHeight="1" x14ac:dyDescent="0.3"/>
    <row r="577" s="66" customFormat="1" ht="14.25" customHeight="1" x14ac:dyDescent="0.3"/>
    <row r="578" s="66" customFormat="1" ht="14.25" customHeight="1" x14ac:dyDescent="0.3"/>
    <row r="579" s="66" customFormat="1" ht="14.25" customHeight="1" x14ac:dyDescent="0.3"/>
    <row r="580" s="66" customFormat="1" ht="14.25" customHeight="1" x14ac:dyDescent="0.3"/>
    <row r="581" s="66" customFormat="1" ht="14.25" customHeight="1" x14ac:dyDescent="0.3"/>
    <row r="582" s="66" customFormat="1" ht="14.25" customHeight="1" x14ac:dyDescent="0.3"/>
    <row r="583" s="66" customFormat="1" ht="14.25" customHeight="1" x14ac:dyDescent="0.3"/>
    <row r="584" s="66" customFormat="1" ht="14.25" customHeight="1" x14ac:dyDescent="0.3"/>
    <row r="585" s="66" customFormat="1" ht="14.25" customHeight="1" x14ac:dyDescent="0.3"/>
    <row r="586" s="66" customFormat="1" ht="14.25" customHeight="1" x14ac:dyDescent="0.3"/>
    <row r="587" s="66" customFormat="1" ht="14.25" customHeight="1" x14ac:dyDescent="0.3"/>
    <row r="588" s="66" customFormat="1" ht="14.25" customHeight="1" x14ac:dyDescent="0.3"/>
    <row r="589" s="66" customFormat="1" ht="14.25" customHeight="1" x14ac:dyDescent="0.3"/>
    <row r="590" s="66" customFormat="1" ht="14.25" customHeight="1" x14ac:dyDescent="0.3"/>
    <row r="591" s="66" customFormat="1" ht="14.25" customHeight="1" x14ac:dyDescent="0.3"/>
    <row r="592" s="66" customFormat="1" ht="14.25" customHeight="1" x14ac:dyDescent="0.3"/>
    <row r="593" s="66" customFormat="1" ht="14.25" customHeight="1" x14ac:dyDescent="0.3"/>
    <row r="594" s="66" customFormat="1" ht="14.25" customHeight="1" x14ac:dyDescent="0.3"/>
    <row r="595" s="66" customFormat="1" ht="14.25" customHeight="1" x14ac:dyDescent="0.3"/>
    <row r="596" s="66" customFormat="1" ht="14.25" customHeight="1" x14ac:dyDescent="0.3"/>
    <row r="597" s="66" customFormat="1" ht="14.25" customHeight="1" x14ac:dyDescent="0.3"/>
    <row r="598" s="66" customFormat="1" ht="14.25" customHeight="1" x14ac:dyDescent="0.3"/>
    <row r="599" s="66" customFormat="1" ht="14.25" customHeight="1" x14ac:dyDescent="0.3"/>
    <row r="600" s="66" customFormat="1" ht="14.25" customHeight="1" x14ac:dyDescent="0.3"/>
    <row r="601" s="66" customFormat="1" ht="14.25" customHeight="1" x14ac:dyDescent="0.3"/>
    <row r="602" s="66" customFormat="1" ht="14.25" customHeight="1" x14ac:dyDescent="0.3"/>
    <row r="603" s="66" customFormat="1" ht="14.25" customHeight="1" x14ac:dyDescent="0.3"/>
    <row r="604" s="66" customFormat="1" ht="14.25" customHeight="1" x14ac:dyDescent="0.3"/>
    <row r="605" s="66" customFormat="1" ht="14.25" customHeight="1" x14ac:dyDescent="0.3"/>
    <row r="606" s="66" customFormat="1" ht="14.25" customHeight="1" x14ac:dyDescent="0.3"/>
    <row r="607" s="66" customFormat="1" ht="14.25" customHeight="1" x14ac:dyDescent="0.3"/>
    <row r="608" s="66" customFormat="1" ht="14.25" customHeight="1" x14ac:dyDescent="0.3"/>
    <row r="609" s="66" customFormat="1" ht="14.25" customHeight="1" x14ac:dyDescent="0.3"/>
    <row r="610" s="66" customFormat="1" ht="14.25" customHeight="1" x14ac:dyDescent="0.3"/>
    <row r="611" s="66" customFormat="1" ht="14.25" customHeight="1" x14ac:dyDescent="0.3"/>
    <row r="612" s="66" customFormat="1" ht="14.25" customHeight="1" x14ac:dyDescent="0.3"/>
    <row r="613" s="66" customFormat="1" ht="14.25" customHeight="1" x14ac:dyDescent="0.3"/>
    <row r="614" s="66" customFormat="1" ht="14.25" customHeight="1" x14ac:dyDescent="0.3"/>
    <row r="615" s="66" customFormat="1" ht="14.25" customHeight="1" x14ac:dyDescent="0.3"/>
    <row r="616" s="66" customFormat="1" ht="14.25" customHeight="1" x14ac:dyDescent="0.3"/>
    <row r="617" s="66" customFormat="1" ht="14.25" customHeight="1" x14ac:dyDescent="0.3"/>
    <row r="618" s="66" customFormat="1" ht="14.25" customHeight="1" x14ac:dyDescent="0.3"/>
    <row r="619" s="66" customFormat="1" ht="14.25" customHeight="1" x14ac:dyDescent="0.3"/>
    <row r="620" s="66" customFormat="1" ht="14.25" customHeight="1" x14ac:dyDescent="0.3"/>
    <row r="621" s="66" customFormat="1" ht="14.25" customHeight="1" x14ac:dyDescent="0.3"/>
    <row r="622" s="66" customFormat="1" ht="14.25" customHeight="1" x14ac:dyDescent="0.3"/>
    <row r="623" s="66" customFormat="1" ht="14.25" customHeight="1" x14ac:dyDescent="0.3"/>
    <row r="624" s="66" customFormat="1" ht="14.25" customHeight="1" x14ac:dyDescent="0.3"/>
    <row r="625" s="66" customFormat="1" ht="14.25" customHeight="1" x14ac:dyDescent="0.3"/>
    <row r="626" s="66" customFormat="1" ht="14.25" customHeight="1" x14ac:dyDescent="0.3"/>
    <row r="627" s="66" customFormat="1" ht="14.25" customHeight="1" x14ac:dyDescent="0.3"/>
    <row r="628" s="66" customFormat="1" ht="14.25" customHeight="1" x14ac:dyDescent="0.3"/>
    <row r="629" s="66" customFormat="1" ht="14.25" customHeight="1" x14ac:dyDescent="0.3"/>
    <row r="630" s="66" customFormat="1" ht="14.25" customHeight="1" x14ac:dyDescent="0.3"/>
    <row r="631" s="66" customFormat="1" ht="14.25" customHeight="1" x14ac:dyDescent="0.3"/>
    <row r="632" s="66" customFormat="1" ht="14.25" customHeight="1" x14ac:dyDescent="0.3"/>
    <row r="633" s="66" customFormat="1" ht="14.25" customHeight="1" x14ac:dyDescent="0.3"/>
    <row r="634" s="66" customFormat="1" ht="14.25" customHeight="1" x14ac:dyDescent="0.3"/>
    <row r="635" s="66" customFormat="1" ht="14.25" customHeight="1" x14ac:dyDescent="0.3"/>
    <row r="636" s="66" customFormat="1" ht="14.25" customHeight="1" x14ac:dyDescent="0.3"/>
    <row r="637" s="66" customFormat="1" ht="14.25" customHeight="1" x14ac:dyDescent="0.3"/>
    <row r="638" s="66" customFormat="1" ht="14.25" customHeight="1" x14ac:dyDescent="0.3"/>
    <row r="639" s="66" customFormat="1" ht="14.25" customHeight="1" x14ac:dyDescent="0.3"/>
    <row r="640" s="66" customFormat="1" ht="14.25" customHeight="1" x14ac:dyDescent="0.3"/>
    <row r="641" s="66" customFormat="1" ht="14.25" customHeight="1" x14ac:dyDescent="0.3"/>
    <row r="642" s="66" customFormat="1" ht="14.25" customHeight="1" x14ac:dyDescent="0.3"/>
    <row r="643" s="66" customFormat="1" ht="14.25" customHeight="1" x14ac:dyDescent="0.3"/>
    <row r="644" s="66" customFormat="1" ht="14.25" customHeight="1" x14ac:dyDescent="0.3"/>
    <row r="645" s="66" customFormat="1" ht="14.25" customHeight="1" x14ac:dyDescent="0.3"/>
    <row r="646" s="66" customFormat="1" ht="14.25" customHeight="1" x14ac:dyDescent="0.3"/>
    <row r="647" s="66" customFormat="1" ht="14.25" customHeight="1" x14ac:dyDescent="0.3"/>
    <row r="648" s="66" customFormat="1" ht="14.25" customHeight="1" x14ac:dyDescent="0.3"/>
    <row r="649" s="66" customFormat="1" ht="14.25" customHeight="1" x14ac:dyDescent="0.3"/>
    <row r="650" s="66" customFormat="1" ht="14.25" customHeight="1" x14ac:dyDescent="0.3"/>
    <row r="651" s="66" customFormat="1" ht="14.25" customHeight="1" x14ac:dyDescent="0.3"/>
    <row r="652" s="66" customFormat="1" ht="14.25" customHeight="1" x14ac:dyDescent="0.3"/>
    <row r="653" s="66" customFormat="1" ht="14.25" customHeight="1" x14ac:dyDescent="0.3"/>
    <row r="654" s="66" customFormat="1" ht="14.25" customHeight="1" x14ac:dyDescent="0.3"/>
    <row r="655" s="66" customFormat="1" ht="14.25" customHeight="1" x14ac:dyDescent="0.3"/>
    <row r="656" s="66" customFormat="1" ht="14.25" customHeight="1" x14ac:dyDescent="0.3"/>
    <row r="657" s="66" customFormat="1" ht="14.25" customHeight="1" x14ac:dyDescent="0.3"/>
    <row r="658" s="66" customFormat="1" ht="14.25" customHeight="1" x14ac:dyDescent="0.3"/>
    <row r="659" s="66" customFormat="1" ht="14.25" customHeight="1" x14ac:dyDescent="0.3"/>
    <row r="660" s="66" customFormat="1" ht="14.25" customHeight="1" x14ac:dyDescent="0.3"/>
    <row r="661" s="66" customFormat="1" ht="14.25" customHeight="1" x14ac:dyDescent="0.3"/>
    <row r="662" s="66" customFormat="1" ht="14.25" customHeight="1" x14ac:dyDescent="0.3"/>
    <row r="663" s="66" customFormat="1" ht="14.25" customHeight="1" x14ac:dyDescent="0.3"/>
    <row r="664" s="66" customFormat="1" ht="14.25" customHeight="1" x14ac:dyDescent="0.3"/>
    <row r="665" s="66" customFormat="1" ht="14.25" customHeight="1" x14ac:dyDescent="0.3"/>
    <row r="666" s="66" customFormat="1" ht="14.25" customHeight="1" x14ac:dyDescent="0.3"/>
    <row r="667" s="66" customFormat="1" ht="14.25" customHeight="1" x14ac:dyDescent="0.3"/>
    <row r="668" s="66" customFormat="1" ht="14.25" customHeight="1" x14ac:dyDescent="0.3"/>
    <row r="669" s="66" customFormat="1" ht="14.25" customHeight="1" x14ac:dyDescent="0.3"/>
    <row r="670" s="66" customFormat="1" ht="14.25" customHeight="1" x14ac:dyDescent="0.3"/>
    <row r="671" s="66" customFormat="1" ht="14.25" customHeight="1" x14ac:dyDescent="0.3"/>
    <row r="672" s="66" customFormat="1" ht="14.25" customHeight="1" x14ac:dyDescent="0.3"/>
    <row r="673" s="66" customFormat="1" ht="14.25" customHeight="1" x14ac:dyDescent="0.3"/>
    <row r="674" s="66" customFormat="1" ht="14.25" customHeight="1" x14ac:dyDescent="0.3"/>
    <row r="675" s="66" customFormat="1" ht="14.25" customHeight="1" x14ac:dyDescent="0.3"/>
    <row r="676" s="66" customFormat="1" ht="14.25" customHeight="1" x14ac:dyDescent="0.3"/>
    <row r="677" s="66" customFormat="1" ht="14.25" customHeight="1" x14ac:dyDescent="0.3"/>
    <row r="678" s="66" customFormat="1" ht="14.25" customHeight="1" x14ac:dyDescent="0.3"/>
    <row r="679" s="66" customFormat="1" ht="14.25" customHeight="1" x14ac:dyDescent="0.3"/>
    <row r="680" s="66" customFormat="1" ht="14.25" customHeight="1" x14ac:dyDescent="0.3"/>
    <row r="681" s="66" customFormat="1" ht="14.25" customHeight="1" x14ac:dyDescent="0.3"/>
    <row r="682" s="66" customFormat="1" ht="14.25" customHeight="1" x14ac:dyDescent="0.3"/>
    <row r="683" s="66" customFormat="1" ht="14.25" customHeight="1" x14ac:dyDescent="0.3"/>
    <row r="684" s="66" customFormat="1" ht="14.25" customHeight="1" x14ac:dyDescent="0.3"/>
    <row r="685" s="66" customFormat="1" ht="14.25" customHeight="1" x14ac:dyDescent="0.3"/>
    <row r="686" s="66" customFormat="1" ht="14.25" customHeight="1" x14ac:dyDescent="0.3"/>
    <row r="687" s="66" customFormat="1" ht="14.25" customHeight="1" x14ac:dyDescent="0.3"/>
    <row r="688" s="66" customFormat="1" ht="14.25" customHeight="1" x14ac:dyDescent="0.3"/>
    <row r="689" s="66" customFormat="1" ht="14.25" customHeight="1" x14ac:dyDescent="0.3"/>
    <row r="690" s="66" customFormat="1" ht="14.25" customHeight="1" x14ac:dyDescent="0.3"/>
    <row r="691" s="66" customFormat="1" ht="14.25" customHeight="1" x14ac:dyDescent="0.3"/>
    <row r="692" s="66" customFormat="1" ht="14.25" customHeight="1" x14ac:dyDescent="0.3"/>
    <row r="693" s="66" customFormat="1" ht="14.25" customHeight="1" x14ac:dyDescent="0.3"/>
    <row r="694" s="66" customFormat="1" ht="14.25" customHeight="1" x14ac:dyDescent="0.3"/>
    <row r="695" s="66" customFormat="1" ht="14.25" customHeight="1" x14ac:dyDescent="0.3"/>
    <row r="696" s="66" customFormat="1" ht="14.25" customHeight="1" x14ac:dyDescent="0.3"/>
    <row r="697" s="66" customFormat="1" ht="14.25" customHeight="1" x14ac:dyDescent="0.3"/>
    <row r="698" s="66" customFormat="1" ht="14.25" customHeight="1" x14ac:dyDescent="0.3"/>
    <row r="699" s="66" customFormat="1" ht="14.25" customHeight="1" x14ac:dyDescent="0.3"/>
    <row r="700" s="66" customFormat="1" ht="14.25" customHeight="1" x14ac:dyDescent="0.3"/>
    <row r="701" s="66" customFormat="1" ht="14.25" customHeight="1" x14ac:dyDescent="0.3"/>
    <row r="702" s="66" customFormat="1" ht="14.25" customHeight="1" x14ac:dyDescent="0.3"/>
    <row r="703" s="66" customFormat="1" ht="14.25" customHeight="1" x14ac:dyDescent="0.3"/>
    <row r="704" s="66" customFormat="1" ht="14.25" customHeight="1" x14ac:dyDescent="0.3"/>
    <row r="705" s="66" customFormat="1" ht="14.25" customHeight="1" x14ac:dyDescent="0.3"/>
    <row r="706" s="66" customFormat="1" ht="14.25" customHeight="1" x14ac:dyDescent="0.3"/>
    <row r="707" s="66" customFormat="1" ht="14.25" customHeight="1" x14ac:dyDescent="0.3"/>
    <row r="708" s="66" customFormat="1" ht="14.25" customHeight="1" x14ac:dyDescent="0.3"/>
    <row r="709" s="66" customFormat="1" ht="14.25" customHeight="1" x14ac:dyDescent="0.3"/>
    <row r="710" s="66" customFormat="1" ht="14.25" customHeight="1" x14ac:dyDescent="0.3"/>
    <row r="711" s="66" customFormat="1" ht="14.25" customHeight="1" x14ac:dyDescent="0.3"/>
    <row r="712" s="66" customFormat="1" ht="14.25" customHeight="1" x14ac:dyDescent="0.3"/>
    <row r="713" s="66" customFormat="1" ht="14.25" customHeight="1" x14ac:dyDescent="0.3"/>
    <row r="714" s="66" customFormat="1" ht="14.25" customHeight="1" x14ac:dyDescent="0.3"/>
    <row r="715" s="66" customFormat="1" ht="14.25" customHeight="1" x14ac:dyDescent="0.3"/>
    <row r="716" s="66" customFormat="1" ht="14.25" customHeight="1" x14ac:dyDescent="0.3"/>
    <row r="717" s="66" customFormat="1" ht="14.25" customHeight="1" x14ac:dyDescent="0.3"/>
    <row r="718" s="66" customFormat="1" ht="14.25" customHeight="1" x14ac:dyDescent="0.3"/>
    <row r="719" s="66" customFormat="1" ht="14.25" customHeight="1" x14ac:dyDescent="0.3"/>
    <row r="720" s="66" customFormat="1" ht="14.25" customHeight="1" x14ac:dyDescent="0.3"/>
    <row r="721" s="66" customFormat="1" ht="14.25" customHeight="1" x14ac:dyDescent="0.3"/>
    <row r="722" s="66" customFormat="1" ht="14.25" customHeight="1" x14ac:dyDescent="0.3"/>
    <row r="723" s="66" customFormat="1" ht="14.25" customHeight="1" x14ac:dyDescent="0.3"/>
    <row r="724" s="66" customFormat="1" ht="14.25" customHeight="1" x14ac:dyDescent="0.3"/>
    <row r="725" s="66" customFormat="1" ht="14.25" customHeight="1" x14ac:dyDescent="0.3"/>
    <row r="726" s="66" customFormat="1" ht="14.25" customHeight="1" x14ac:dyDescent="0.3"/>
    <row r="727" s="66" customFormat="1" ht="14.25" customHeight="1" x14ac:dyDescent="0.3"/>
    <row r="728" s="66" customFormat="1" ht="14.25" customHeight="1" x14ac:dyDescent="0.3"/>
    <row r="729" s="66" customFormat="1" ht="14.25" customHeight="1" x14ac:dyDescent="0.3"/>
    <row r="730" s="66" customFormat="1" ht="14.25" customHeight="1" x14ac:dyDescent="0.3"/>
    <row r="731" s="66" customFormat="1" ht="14.25" customHeight="1" x14ac:dyDescent="0.3"/>
    <row r="732" s="66" customFormat="1" ht="14.25" customHeight="1" x14ac:dyDescent="0.3"/>
    <row r="733" s="66" customFormat="1" ht="14.25" customHeight="1" x14ac:dyDescent="0.3"/>
    <row r="734" s="66" customFormat="1" ht="14.25" customHeight="1" x14ac:dyDescent="0.3"/>
    <row r="735" s="66" customFormat="1" ht="14.25" customHeight="1" x14ac:dyDescent="0.3"/>
    <row r="736" s="66" customFormat="1" ht="14.25" customHeight="1" x14ac:dyDescent="0.3"/>
    <row r="737" s="66" customFormat="1" ht="14.25" customHeight="1" x14ac:dyDescent="0.3"/>
    <row r="738" s="66" customFormat="1" ht="14.25" customHeight="1" x14ac:dyDescent="0.3"/>
    <row r="739" s="66" customFormat="1" ht="14.25" customHeight="1" x14ac:dyDescent="0.3"/>
    <row r="740" s="66" customFormat="1" ht="14.25" customHeight="1" x14ac:dyDescent="0.3"/>
    <row r="741" s="66" customFormat="1" ht="14.25" customHeight="1" x14ac:dyDescent="0.3"/>
    <row r="742" s="66" customFormat="1" ht="14.25" customHeight="1" x14ac:dyDescent="0.3"/>
    <row r="743" s="66" customFormat="1" ht="14.25" customHeight="1" x14ac:dyDescent="0.3"/>
    <row r="744" s="66" customFormat="1" ht="14.25" customHeight="1" x14ac:dyDescent="0.3"/>
    <row r="745" s="66" customFormat="1" ht="14.25" customHeight="1" x14ac:dyDescent="0.3"/>
    <row r="746" s="66" customFormat="1" ht="14.25" customHeight="1" x14ac:dyDescent="0.3"/>
    <row r="747" s="66" customFormat="1" ht="14.25" customHeight="1" x14ac:dyDescent="0.3"/>
    <row r="748" s="66" customFormat="1" ht="14.25" customHeight="1" x14ac:dyDescent="0.3"/>
    <row r="749" s="66" customFormat="1" ht="14.25" customHeight="1" x14ac:dyDescent="0.3"/>
    <row r="750" s="66" customFormat="1" ht="14.25" customHeight="1" x14ac:dyDescent="0.3"/>
    <row r="751" s="66" customFormat="1" ht="14.25" customHeight="1" x14ac:dyDescent="0.3"/>
    <row r="752" s="66" customFormat="1" ht="14.25" customHeight="1" x14ac:dyDescent="0.3"/>
    <row r="753" s="66" customFormat="1" ht="14.25" customHeight="1" x14ac:dyDescent="0.3"/>
    <row r="754" s="66" customFormat="1" ht="14.25" customHeight="1" x14ac:dyDescent="0.3"/>
    <row r="755" s="66" customFormat="1" ht="14.25" customHeight="1" x14ac:dyDescent="0.3"/>
    <row r="756" s="66" customFormat="1" ht="14.25" customHeight="1" x14ac:dyDescent="0.3"/>
    <row r="757" s="66" customFormat="1" ht="14.25" customHeight="1" x14ac:dyDescent="0.3"/>
    <row r="758" s="66" customFormat="1" ht="14.25" customHeight="1" x14ac:dyDescent="0.3"/>
    <row r="759" s="66" customFormat="1" ht="14.25" customHeight="1" x14ac:dyDescent="0.3"/>
    <row r="760" s="66" customFormat="1" ht="14.25" customHeight="1" x14ac:dyDescent="0.3"/>
    <row r="761" s="66" customFormat="1" ht="14.25" customHeight="1" x14ac:dyDescent="0.3"/>
    <row r="762" s="66" customFormat="1" ht="14.25" customHeight="1" x14ac:dyDescent="0.3"/>
    <row r="763" s="66" customFormat="1" ht="14.25" customHeight="1" x14ac:dyDescent="0.3"/>
    <row r="764" s="66" customFormat="1" ht="14.25" customHeight="1" x14ac:dyDescent="0.3"/>
    <row r="765" s="66" customFormat="1" ht="14.25" customHeight="1" x14ac:dyDescent="0.3"/>
    <row r="766" s="66" customFormat="1" ht="14.25" customHeight="1" x14ac:dyDescent="0.3"/>
    <row r="767" s="66" customFormat="1" ht="14.25" customHeight="1" x14ac:dyDescent="0.3"/>
    <row r="768" s="66" customFormat="1" ht="14.25" customHeight="1" x14ac:dyDescent="0.3"/>
    <row r="769" s="66" customFormat="1" ht="14.25" customHeight="1" x14ac:dyDescent="0.3"/>
    <row r="770" s="66" customFormat="1" ht="14.25" customHeight="1" x14ac:dyDescent="0.3"/>
    <row r="771" s="66" customFormat="1" ht="14.25" customHeight="1" x14ac:dyDescent="0.3"/>
    <row r="772" s="66" customFormat="1" ht="14.25" customHeight="1" x14ac:dyDescent="0.3"/>
    <row r="773" s="66" customFormat="1" ht="14.25" customHeight="1" x14ac:dyDescent="0.3"/>
    <row r="774" s="66" customFormat="1" ht="14.25" customHeight="1" x14ac:dyDescent="0.3"/>
    <row r="775" s="66" customFormat="1" ht="14.25" customHeight="1" x14ac:dyDescent="0.3"/>
    <row r="776" s="66" customFormat="1" ht="14.25" customHeight="1" x14ac:dyDescent="0.3"/>
    <row r="777" s="66" customFormat="1" ht="14.25" customHeight="1" x14ac:dyDescent="0.3"/>
    <row r="778" s="66" customFormat="1" ht="14.25" customHeight="1" x14ac:dyDescent="0.3"/>
    <row r="779" s="66" customFormat="1" ht="14.25" customHeight="1" x14ac:dyDescent="0.3"/>
    <row r="780" s="66" customFormat="1" ht="14.25" customHeight="1" x14ac:dyDescent="0.3"/>
    <row r="781" s="66" customFormat="1" ht="14.25" customHeight="1" x14ac:dyDescent="0.3"/>
    <row r="782" s="66" customFormat="1" ht="14.25" customHeight="1" x14ac:dyDescent="0.3"/>
    <row r="783" s="66" customFormat="1" ht="14.25" customHeight="1" x14ac:dyDescent="0.3"/>
    <row r="784" s="66" customFormat="1" ht="14.25" customHeight="1" x14ac:dyDescent="0.3"/>
    <row r="785" s="66" customFormat="1" ht="14.25" customHeight="1" x14ac:dyDescent="0.3"/>
    <row r="786" s="66" customFormat="1" ht="14.25" customHeight="1" x14ac:dyDescent="0.3"/>
    <row r="787" s="66" customFormat="1" ht="14.25" customHeight="1" x14ac:dyDescent="0.3"/>
    <row r="788" s="66" customFormat="1" ht="14.25" customHeight="1" x14ac:dyDescent="0.3"/>
    <row r="789" s="66" customFormat="1" ht="14.25" customHeight="1" x14ac:dyDescent="0.3"/>
    <row r="790" s="66" customFormat="1" ht="14.25" customHeight="1" x14ac:dyDescent="0.3"/>
    <row r="791" s="66" customFormat="1" ht="14.25" customHeight="1" x14ac:dyDescent="0.3"/>
    <row r="792" s="66" customFormat="1" ht="14.25" customHeight="1" x14ac:dyDescent="0.3"/>
    <row r="793" s="66" customFormat="1" ht="14.25" customHeight="1" x14ac:dyDescent="0.3"/>
    <row r="794" s="66" customFormat="1" ht="14.25" customHeight="1" x14ac:dyDescent="0.3"/>
    <row r="795" s="66" customFormat="1" ht="14.25" customHeight="1" x14ac:dyDescent="0.3"/>
    <row r="796" s="66" customFormat="1" ht="14.25" customHeight="1" x14ac:dyDescent="0.3"/>
    <row r="797" s="66" customFormat="1" ht="14.25" customHeight="1" x14ac:dyDescent="0.3"/>
    <row r="798" s="66" customFormat="1" ht="14.25" customHeight="1" x14ac:dyDescent="0.3"/>
    <row r="799" s="66" customFormat="1" ht="14.25" customHeight="1" x14ac:dyDescent="0.3"/>
    <row r="800" s="66" customFormat="1" ht="14.25" customHeight="1" x14ac:dyDescent="0.3"/>
    <row r="801" s="66" customFormat="1" ht="14.25" customHeight="1" x14ac:dyDescent="0.3"/>
    <row r="802" s="66" customFormat="1" ht="14.25" customHeight="1" x14ac:dyDescent="0.3"/>
    <row r="803" s="66" customFormat="1" ht="14.25" customHeight="1" x14ac:dyDescent="0.3"/>
    <row r="804" s="66" customFormat="1" ht="14.25" customHeight="1" x14ac:dyDescent="0.3"/>
    <row r="805" s="66" customFormat="1" ht="14.25" customHeight="1" x14ac:dyDescent="0.3"/>
    <row r="806" s="66" customFormat="1" ht="14.25" customHeight="1" x14ac:dyDescent="0.3"/>
    <row r="807" s="66" customFormat="1" ht="14.25" customHeight="1" x14ac:dyDescent="0.3"/>
    <row r="808" s="66" customFormat="1" ht="14.25" customHeight="1" x14ac:dyDescent="0.3"/>
    <row r="809" s="66" customFormat="1" ht="14.25" customHeight="1" x14ac:dyDescent="0.3"/>
    <row r="810" s="66" customFormat="1" ht="14.25" customHeight="1" x14ac:dyDescent="0.3"/>
    <row r="811" s="66" customFormat="1" ht="14.25" customHeight="1" x14ac:dyDescent="0.3"/>
    <row r="812" s="66" customFormat="1" ht="14.25" customHeight="1" x14ac:dyDescent="0.3"/>
    <row r="813" s="66" customFormat="1" ht="14.25" customHeight="1" x14ac:dyDescent="0.3"/>
    <row r="814" s="66" customFormat="1" ht="14.25" customHeight="1" x14ac:dyDescent="0.3"/>
    <row r="815" s="66" customFormat="1" ht="14.25" customHeight="1" x14ac:dyDescent="0.3"/>
    <row r="816" s="66" customFormat="1" ht="14.25" customHeight="1" x14ac:dyDescent="0.3"/>
    <row r="817" s="66" customFormat="1" ht="14.25" customHeight="1" x14ac:dyDescent="0.3"/>
    <row r="818" s="66" customFormat="1" ht="14.25" customHeight="1" x14ac:dyDescent="0.3"/>
    <row r="819" s="66" customFormat="1" ht="14.25" customHeight="1" x14ac:dyDescent="0.3"/>
    <row r="820" s="66" customFormat="1" ht="14.25" customHeight="1" x14ac:dyDescent="0.3"/>
    <row r="821" s="66" customFormat="1" ht="14.25" customHeight="1" x14ac:dyDescent="0.3"/>
    <row r="822" s="66" customFormat="1" ht="14.25" customHeight="1" x14ac:dyDescent="0.3"/>
    <row r="823" s="66" customFormat="1" ht="14.25" customHeight="1" x14ac:dyDescent="0.3"/>
    <row r="824" s="66" customFormat="1" ht="14.25" customHeight="1" x14ac:dyDescent="0.3"/>
    <row r="825" s="66" customFormat="1" ht="14.25" customHeight="1" x14ac:dyDescent="0.3"/>
    <row r="826" s="66" customFormat="1" ht="14.25" customHeight="1" x14ac:dyDescent="0.3"/>
    <row r="827" s="66" customFormat="1" ht="14.25" customHeight="1" x14ac:dyDescent="0.3"/>
    <row r="828" s="66" customFormat="1" ht="14.25" customHeight="1" x14ac:dyDescent="0.3"/>
    <row r="829" s="66" customFormat="1" ht="14.25" customHeight="1" x14ac:dyDescent="0.3"/>
    <row r="830" s="66" customFormat="1" ht="14.25" customHeight="1" x14ac:dyDescent="0.3"/>
    <row r="831" s="66" customFormat="1" ht="14.25" customHeight="1" x14ac:dyDescent="0.3"/>
    <row r="832" s="66" customFormat="1" ht="14.25" customHeight="1" x14ac:dyDescent="0.3"/>
    <row r="833" s="66" customFormat="1" ht="14.25" customHeight="1" x14ac:dyDescent="0.3"/>
    <row r="834" s="66" customFormat="1" ht="14.25" customHeight="1" x14ac:dyDescent="0.3"/>
    <row r="835" s="66" customFormat="1" ht="14.25" customHeight="1" x14ac:dyDescent="0.3"/>
    <row r="836" s="66" customFormat="1" ht="14.25" customHeight="1" x14ac:dyDescent="0.3"/>
    <row r="837" s="66" customFormat="1" ht="14.25" customHeight="1" x14ac:dyDescent="0.3"/>
    <row r="838" s="66" customFormat="1" ht="14.25" customHeight="1" x14ac:dyDescent="0.3"/>
    <row r="839" s="66" customFormat="1" ht="14.25" customHeight="1" x14ac:dyDescent="0.3"/>
    <row r="840" s="66" customFormat="1" ht="14.25" customHeight="1" x14ac:dyDescent="0.3"/>
    <row r="841" s="66" customFormat="1" ht="14.25" customHeight="1" x14ac:dyDescent="0.3"/>
    <row r="842" s="66" customFormat="1" ht="14.25" customHeight="1" x14ac:dyDescent="0.3"/>
    <row r="843" s="66" customFormat="1" ht="14.25" customHeight="1" x14ac:dyDescent="0.3"/>
    <row r="844" s="66" customFormat="1" ht="14.25" customHeight="1" x14ac:dyDescent="0.3"/>
    <row r="845" s="66" customFormat="1" ht="14.25" customHeight="1" x14ac:dyDescent="0.3"/>
    <row r="846" s="66" customFormat="1" ht="14.25" customHeight="1" x14ac:dyDescent="0.3"/>
    <row r="847" s="66" customFormat="1" ht="14.25" customHeight="1" x14ac:dyDescent="0.3"/>
    <row r="848" s="66" customFormat="1" ht="14.25" customHeight="1" x14ac:dyDescent="0.3"/>
    <row r="849" s="66" customFormat="1" ht="14.25" customHeight="1" x14ac:dyDescent="0.3"/>
    <row r="850" s="66" customFormat="1" ht="14.25" customHeight="1" x14ac:dyDescent="0.3"/>
    <row r="851" s="66" customFormat="1" ht="14.25" customHeight="1" x14ac:dyDescent="0.3"/>
    <row r="852" s="66" customFormat="1" ht="14.25" customHeight="1" x14ac:dyDescent="0.3"/>
    <row r="853" s="66" customFormat="1" ht="14.25" customHeight="1" x14ac:dyDescent="0.3"/>
    <row r="854" s="66" customFormat="1" ht="14.25" customHeight="1" x14ac:dyDescent="0.3"/>
    <row r="855" s="66" customFormat="1" ht="14.25" customHeight="1" x14ac:dyDescent="0.3"/>
    <row r="856" s="66" customFormat="1" ht="14.25" customHeight="1" x14ac:dyDescent="0.3"/>
    <row r="857" s="66" customFormat="1" ht="14.25" customHeight="1" x14ac:dyDescent="0.3"/>
    <row r="858" s="66" customFormat="1" ht="14.25" customHeight="1" x14ac:dyDescent="0.3"/>
    <row r="859" s="66" customFormat="1" ht="14.25" customHeight="1" x14ac:dyDescent="0.3"/>
    <row r="860" s="66" customFormat="1" ht="14.25" customHeight="1" x14ac:dyDescent="0.3"/>
    <row r="861" s="66" customFormat="1" ht="14.25" customHeight="1" x14ac:dyDescent="0.3"/>
    <row r="862" s="66" customFormat="1" ht="14.25" customHeight="1" x14ac:dyDescent="0.3"/>
    <row r="863" s="66" customFormat="1" ht="14.25" customHeight="1" x14ac:dyDescent="0.3"/>
    <row r="864" s="66" customFormat="1" ht="14.25" customHeight="1" x14ac:dyDescent="0.3"/>
    <row r="865" s="66" customFormat="1" ht="14.25" customHeight="1" x14ac:dyDescent="0.3"/>
    <row r="866" s="66" customFormat="1" ht="14.25" customHeight="1" x14ac:dyDescent="0.3"/>
    <row r="867" s="66" customFormat="1" ht="14.25" customHeight="1" x14ac:dyDescent="0.3"/>
    <row r="868" s="66" customFormat="1" ht="14.25" customHeight="1" x14ac:dyDescent="0.3"/>
    <row r="869" s="66" customFormat="1" ht="14.25" customHeight="1" x14ac:dyDescent="0.3"/>
    <row r="870" s="66" customFormat="1" ht="14.25" customHeight="1" x14ac:dyDescent="0.3"/>
    <row r="871" s="66" customFormat="1" ht="14.25" customHeight="1" x14ac:dyDescent="0.3"/>
    <row r="872" s="66" customFormat="1" ht="14.25" customHeight="1" x14ac:dyDescent="0.3"/>
    <row r="873" s="66" customFormat="1" ht="14.25" customHeight="1" x14ac:dyDescent="0.3"/>
    <row r="874" s="66" customFormat="1" ht="14.25" customHeight="1" x14ac:dyDescent="0.3"/>
    <row r="875" s="66" customFormat="1" ht="14.25" customHeight="1" x14ac:dyDescent="0.3"/>
    <row r="876" s="66" customFormat="1" ht="14.25" customHeight="1" x14ac:dyDescent="0.3"/>
    <row r="877" s="66" customFormat="1" ht="14.25" customHeight="1" x14ac:dyDescent="0.3"/>
    <row r="878" s="66" customFormat="1" ht="14.25" customHeight="1" x14ac:dyDescent="0.3"/>
    <row r="879" s="66" customFormat="1" ht="14.25" customHeight="1" x14ac:dyDescent="0.3"/>
    <row r="880" s="66" customFormat="1" ht="14.25" customHeight="1" x14ac:dyDescent="0.3"/>
    <row r="881" s="66" customFormat="1" ht="14.25" customHeight="1" x14ac:dyDescent="0.3"/>
    <row r="882" s="66" customFormat="1" ht="14.25" customHeight="1" x14ac:dyDescent="0.3"/>
    <row r="883" s="66" customFormat="1" ht="14.25" customHeight="1" x14ac:dyDescent="0.3"/>
    <row r="884" s="66" customFormat="1" ht="14.25" customHeight="1" x14ac:dyDescent="0.3"/>
    <row r="885" s="66" customFormat="1" ht="14.25" customHeight="1" x14ac:dyDescent="0.3"/>
    <row r="886" s="66" customFormat="1" ht="14.25" customHeight="1" x14ac:dyDescent="0.3"/>
    <row r="887" s="66" customFormat="1" ht="14.25" customHeight="1" x14ac:dyDescent="0.3"/>
    <row r="888" s="66" customFormat="1" ht="14.25" customHeight="1" x14ac:dyDescent="0.3"/>
    <row r="889" s="66" customFormat="1" ht="14.25" customHeight="1" x14ac:dyDescent="0.3"/>
    <row r="890" s="66" customFormat="1" ht="14.25" customHeight="1" x14ac:dyDescent="0.3"/>
    <row r="891" s="66" customFormat="1" ht="14.25" customHeight="1" x14ac:dyDescent="0.3"/>
    <row r="892" s="66" customFormat="1" ht="14.25" customHeight="1" x14ac:dyDescent="0.3"/>
    <row r="893" s="66" customFormat="1" ht="14.25" customHeight="1" x14ac:dyDescent="0.3"/>
    <row r="894" s="66" customFormat="1" ht="14.25" customHeight="1" x14ac:dyDescent="0.3"/>
    <row r="895" s="66" customFormat="1" ht="14.25" customHeight="1" x14ac:dyDescent="0.3"/>
    <row r="896" s="66" customFormat="1" ht="14.25" customHeight="1" x14ac:dyDescent="0.3"/>
    <row r="897" s="66" customFormat="1" ht="14.25" customHeight="1" x14ac:dyDescent="0.3"/>
    <row r="898" s="66" customFormat="1" ht="14.25" customHeight="1" x14ac:dyDescent="0.3"/>
    <row r="899" s="66" customFormat="1" ht="14.25" customHeight="1" x14ac:dyDescent="0.3"/>
    <row r="900" s="66" customFormat="1" ht="14.25" customHeight="1" x14ac:dyDescent="0.3"/>
    <row r="901" s="66" customFormat="1" ht="14.25" customHeight="1" x14ac:dyDescent="0.3"/>
    <row r="902" s="66" customFormat="1" ht="14.25" customHeight="1" x14ac:dyDescent="0.3"/>
    <row r="903" s="66" customFormat="1" ht="14.25" customHeight="1" x14ac:dyDescent="0.3"/>
    <row r="904" s="66" customFormat="1" ht="14.25" customHeight="1" x14ac:dyDescent="0.3"/>
    <row r="905" s="66" customFormat="1" ht="14.25" customHeight="1" x14ac:dyDescent="0.3"/>
    <row r="906" s="66" customFormat="1" ht="14.25" customHeight="1" x14ac:dyDescent="0.3"/>
    <row r="907" s="66" customFormat="1" ht="14.25" customHeight="1" x14ac:dyDescent="0.3"/>
    <row r="908" s="66" customFormat="1" ht="14.25" customHeight="1" x14ac:dyDescent="0.3"/>
    <row r="909" s="66" customFormat="1" ht="14.25" customHeight="1" x14ac:dyDescent="0.3"/>
    <row r="910" s="66" customFormat="1" ht="14.25" customHeight="1" x14ac:dyDescent="0.3"/>
    <row r="911" s="66" customFormat="1" ht="14.25" customHeight="1" x14ac:dyDescent="0.3"/>
    <row r="912" s="66" customFormat="1" ht="14.25" customHeight="1" x14ac:dyDescent="0.3"/>
    <row r="913" s="66" customFormat="1" ht="14.25" customHeight="1" x14ac:dyDescent="0.3"/>
    <row r="914" s="66" customFormat="1" ht="14.25" customHeight="1" x14ac:dyDescent="0.3"/>
    <row r="915" s="66" customFormat="1" ht="14.25" customHeight="1" x14ac:dyDescent="0.3"/>
    <row r="916" s="66" customFormat="1" ht="14.25" customHeight="1" x14ac:dyDescent="0.3"/>
    <row r="917" s="66" customFormat="1" ht="14.25" customHeight="1" x14ac:dyDescent="0.3"/>
    <row r="918" s="66" customFormat="1" ht="14.25" customHeight="1" x14ac:dyDescent="0.3"/>
    <row r="919" s="66" customFormat="1" ht="14.25" customHeight="1" x14ac:dyDescent="0.3"/>
    <row r="920" s="66" customFormat="1" ht="14.25" customHeight="1" x14ac:dyDescent="0.3"/>
    <row r="921" s="66" customFormat="1" ht="14.25" customHeight="1" x14ac:dyDescent="0.3"/>
    <row r="922" s="66" customFormat="1" ht="14.25" customHeight="1" x14ac:dyDescent="0.3"/>
    <row r="923" s="66" customFormat="1" ht="14.25" customHeight="1" x14ac:dyDescent="0.3"/>
    <row r="924" s="66" customFormat="1" ht="14.25" customHeight="1" x14ac:dyDescent="0.3"/>
    <row r="925" s="66" customFormat="1" ht="14.25" customHeight="1" x14ac:dyDescent="0.3"/>
    <row r="926" s="66" customFormat="1" ht="14.25" customHeight="1" x14ac:dyDescent="0.3"/>
    <row r="927" s="66" customFormat="1" ht="14.25" customHeight="1" x14ac:dyDescent="0.3"/>
    <row r="928" s="66" customFormat="1" ht="14.25" customHeight="1" x14ac:dyDescent="0.3"/>
    <row r="929" s="66" customFormat="1" ht="14.25" customHeight="1" x14ac:dyDescent="0.3"/>
    <row r="930" s="66" customFormat="1" ht="14.25" customHeight="1" x14ac:dyDescent="0.3"/>
    <row r="931" s="66" customFormat="1" ht="14.25" customHeight="1" x14ac:dyDescent="0.3"/>
    <row r="932" s="66" customFormat="1" ht="14.25" customHeight="1" x14ac:dyDescent="0.3"/>
    <row r="933" s="66" customFormat="1" ht="14.25" customHeight="1" x14ac:dyDescent="0.3"/>
    <row r="934" s="66" customFormat="1" ht="14.25" customHeight="1" x14ac:dyDescent="0.3"/>
    <row r="935" s="66" customFormat="1" ht="14.25" customHeight="1" x14ac:dyDescent="0.3"/>
    <row r="936" s="66" customFormat="1" ht="14.25" customHeight="1" x14ac:dyDescent="0.3"/>
    <row r="937" s="66" customFormat="1" ht="14.25" customHeight="1" x14ac:dyDescent="0.3"/>
    <row r="938" s="66" customFormat="1" ht="14.25" customHeight="1" x14ac:dyDescent="0.3"/>
    <row r="939" s="66" customFormat="1" ht="14.25" customHeight="1" x14ac:dyDescent="0.3"/>
    <row r="940" s="66" customFormat="1" ht="14.25" customHeight="1" x14ac:dyDescent="0.3"/>
    <row r="941" s="66" customFormat="1" ht="14.25" customHeight="1" x14ac:dyDescent="0.3"/>
    <row r="942" s="66" customFormat="1" ht="14.25" customHeight="1" x14ac:dyDescent="0.3"/>
    <row r="943" s="66" customFormat="1" ht="14.25" customHeight="1" x14ac:dyDescent="0.3"/>
    <row r="944" s="66" customFormat="1" ht="14.25" customHeight="1" x14ac:dyDescent="0.3"/>
    <row r="945" s="66" customFormat="1" ht="14.25" customHeight="1" x14ac:dyDescent="0.3"/>
    <row r="946" s="66" customFormat="1" ht="14.25" customHeight="1" x14ac:dyDescent="0.3"/>
    <row r="947" s="66" customFormat="1" ht="14.25" customHeight="1" x14ac:dyDescent="0.3"/>
    <row r="948" s="66" customFormat="1" ht="14.25" customHeight="1" x14ac:dyDescent="0.3"/>
    <row r="949" s="66" customFormat="1" ht="14.25" customHeight="1" x14ac:dyDescent="0.3"/>
    <row r="950" s="66" customFormat="1" ht="14.25" customHeight="1" x14ac:dyDescent="0.3"/>
    <row r="951" s="66" customFormat="1" ht="14.25" customHeight="1" x14ac:dyDescent="0.3"/>
    <row r="952" s="66" customFormat="1" ht="14.25" customHeight="1" x14ac:dyDescent="0.3"/>
    <row r="953" s="66" customFormat="1" ht="14.25" customHeight="1" x14ac:dyDescent="0.3"/>
    <row r="954" s="66" customFormat="1" ht="14.25" customHeight="1" x14ac:dyDescent="0.3"/>
    <row r="955" s="66" customFormat="1" ht="14.25" customHeight="1" x14ac:dyDescent="0.3"/>
    <row r="956" s="66" customFormat="1" ht="14.25" customHeight="1" x14ac:dyDescent="0.3"/>
    <row r="957" s="66" customFormat="1" ht="14.25" customHeight="1" x14ac:dyDescent="0.3"/>
    <row r="958" s="66" customFormat="1" ht="14.25" customHeight="1" x14ac:dyDescent="0.3"/>
    <row r="959" s="66" customFormat="1" ht="14.25" customHeight="1" x14ac:dyDescent="0.3"/>
    <row r="960" s="66" customFormat="1" ht="14.25" customHeight="1" x14ac:dyDescent="0.3"/>
    <row r="961" s="66" customFormat="1" ht="14.25" customHeight="1" x14ac:dyDescent="0.3"/>
    <row r="962" s="66" customFormat="1" ht="14.25" customHeight="1" x14ac:dyDescent="0.3"/>
    <row r="963" s="66" customFormat="1" ht="14.25" customHeight="1" x14ac:dyDescent="0.3"/>
    <row r="964" s="66" customFormat="1" ht="14.25" customHeight="1" x14ac:dyDescent="0.3"/>
    <row r="965" s="66" customFormat="1" ht="14.25" customHeight="1" x14ac:dyDescent="0.3"/>
    <row r="966" s="66" customFormat="1" ht="14.25" customHeight="1" x14ac:dyDescent="0.3"/>
    <row r="967" s="66" customFormat="1" ht="14.25" customHeight="1" x14ac:dyDescent="0.3"/>
    <row r="968" s="66" customFormat="1" ht="14.25" customHeight="1" x14ac:dyDescent="0.3"/>
    <row r="969" s="66" customFormat="1" ht="14.25" customHeight="1" x14ac:dyDescent="0.3"/>
    <row r="970" s="66" customFormat="1" ht="14.25" customHeight="1" x14ac:dyDescent="0.3"/>
    <row r="971" s="66" customFormat="1" ht="14.25" customHeight="1" x14ac:dyDescent="0.3"/>
    <row r="972" s="66" customFormat="1" ht="14.25" customHeight="1" x14ac:dyDescent="0.3"/>
    <row r="973" s="66" customFormat="1" ht="14.25" customHeight="1" x14ac:dyDescent="0.3"/>
    <row r="974" s="66" customFormat="1" ht="14.25" customHeight="1" x14ac:dyDescent="0.3"/>
    <row r="975" s="66" customFormat="1" ht="14.25" customHeight="1" x14ac:dyDescent="0.3"/>
    <row r="976" s="66" customFormat="1" ht="14.25" customHeight="1" x14ac:dyDescent="0.3"/>
    <row r="977" s="66" customFormat="1" ht="14.25" customHeight="1" x14ac:dyDescent="0.3"/>
    <row r="978" s="66" customFormat="1" ht="14.25" customHeight="1" x14ac:dyDescent="0.3"/>
    <row r="979" s="66" customFormat="1" ht="14.25" customHeight="1" x14ac:dyDescent="0.3"/>
    <row r="980" s="66" customFormat="1" ht="14.25" customHeight="1" x14ac:dyDescent="0.3"/>
    <row r="981" s="66" customFormat="1" ht="14.25" customHeight="1" x14ac:dyDescent="0.3"/>
    <row r="982" s="66" customFormat="1" ht="14.25" customHeight="1" x14ac:dyDescent="0.3"/>
    <row r="983" s="66" customFormat="1" ht="14.25" customHeight="1" x14ac:dyDescent="0.3"/>
    <row r="984" s="66" customFormat="1" ht="14.25" customHeight="1" x14ac:dyDescent="0.3"/>
    <row r="985" s="66" customFormat="1" ht="14.25" customHeight="1" x14ac:dyDescent="0.3"/>
    <row r="986" s="66" customFormat="1" ht="14.25" customHeight="1" x14ac:dyDescent="0.3"/>
    <row r="987" s="66" customFormat="1" ht="14.25" customHeight="1" x14ac:dyDescent="0.3"/>
    <row r="988" s="66" customFormat="1" ht="14.25" customHeight="1" x14ac:dyDescent="0.3"/>
    <row r="989" s="66" customFormat="1" ht="14.25" customHeight="1" x14ac:dyDescent="0.3"/>
    <row r="990" s="66" customFormat="1" ht="14.25" customHeight="1" x14ac:dyDescent="0.3"/>
    <row r="991" s="66" customFormat="1" ht="14.25" customHeight="1" x14ac:dyDescent="0.3"/>
    <row r="992" s="66" customFormat="1" ht="14.25" customHeight="1" x14ac:dyDescent="0.3"/>
    <row r="993" s="66" customFormat="1" ht="14.25" customHeight="1" x14ac:dyDescent="0.3"/>
    <row r="994" s="66" customFormat="1" ht="14.25" customHeight="1" x14ac:dyDescent="0.3"/>
    <row r="995" s="66" customFormat="1" ht="14.25" customHeight="1" x14ac:dyDescent="0.3"/>
    <row r="996" s="66" customFormat="1" ht="14.25" customHeight="1" x14ac:dyDescent="0.3"/>
    <row r="997" s="66" customFormat="1" ht="14.25" customHeight="1" x14ac:dyDescent="0.3"/>
    <row r="998" s="66" customFormat="1" ht="14.25" customHeight="1" x14ac:dyDescent="0.3"/>
    <row r="999" s="66" customFormat="1" ht="14.25" customHeight="1" x14ac:dyDescent="0.3"/>
    <row r="1000" s="66" customFormat="1" ht="14.25" customHeight="1" x14ac:dyDescent="0.3"/>
  </sheetData>
  <mergeCells count="13">
    <mergeCell ref="F4:F5"/>
    <mergeCell ref="G4:G5"/>
    <mergeCell ref="H4:H5"/>
    <mergeCell ref="I4:I5"/>
    <mergeCell ref="J4:L4"/>
    <mergeCell ref="D4:D5"/>
    <mergeCell ref="E4:E5"/>
    <mergeCell ref="A14:C14"/>
    <mergeCell ref="A1:C1"/>
    <mergeCell ref="A2:B2"/>
    <mergeCell ref="A4:A5"/>
    <mergeCell ref="B4:B5"/>
    <mergeCell ref="C4:C5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20" sqref="H20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7" t="s">
        <v>39</v>
      </c>
      <c r="B1" s="100"/>
      <c r="C1" s="100"/>
      <c r="D1" s="100"/>
      <c r="E1" s="100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26">
        <f>SUM(IK!E1)</f>
        <v>45809</v>
      </c>
      <c r="B2" s="111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6">
        <f t="shared" si="1"/>
        <v>5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2</v>
      </c>
      <c r="E9" s="16">
        <f>IP!K11</f>
        <v>3</v>
      </c>
      <c r="F9" s="46">
        <f t="shared" si="1"/>
        <v>5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96" t="str">
        <f>B3&amp;" "&amp;B4</f>
        <v>KOTA CILEGON</v>
      </c>
      <c r="B12" s="97"/>
      <c r="C12" s="98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="90" zoomScaleNormal="90" workbookViewId="0">
      <selection activeCell="O22" sqref="O22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5">
        <f>SUM(IA!J2)</f>
        <v>45809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8">
        <f>SUM(IA!E14)</f>
        <v>14000</v>
      </c>
      <c r="E27" s="88">
        <f>SUM(IA!D14)</f>
        <v>15240</v>
      </c>
      <c r="F27" s="89">
        <f>SUM(IA!J14)</f>
        <v>-8.1364829396325451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8">
        <f>SUM(IA!G14)</f>
        <v>21300</v>
      </c>
      <c r="E28" s="88">
        <f>SUM(IA!F14)</f>
        <v>17250</v>
      </c>
      <c r="F28" s="89">
        <f>SUM(IA!L14)</f>
        <v>23.478260869565219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8">
        <f>SUM(IA!I14)</f>
        <v>28000</v>
      </c>
      <c r="E29" s="88">
        <f>SUM(IA!H14)</f>
        <v>28195</v>
      </c>
      <c r="F29" s="89">
        <f>SUM(IA!N14)</f>
        <v>-0.69161198794112422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Q28" sqref="Q28"/>
    </sheetView>
  </sheetViews>
  <sheetFormatPr defaultRowHeight="14.4" x14ac:dyDescent="0.3"/>
  <cols>
    <col min="3" max="3" width="13.33203125" customWidth="1"/>
  </cols>
  <sheetData>
    <row r="2" spans="3:3" ht="18" x14ac:dyDescent="0.35">
      <c r="C2" s="82" t="s">
        <v>612</v>
      </c>
    </row>
    <row r="3" spans="3:3" ht="18" x14ac:dyDescent="0.35">
      <c r="C3" s="83">
        <f>SUM(IK!E1)</f>
        <v>45809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8">
        <v>45658</v>
      </c>
    </row>
    <row r="2" spans="2:2" ht="14.25" customHeight="1" x14ac:dyDescent="0.3">
      <c r="B2" s="48">
        <v>45689</v>
      </c>
    </row>
    <row r="3" spans="2:2" ht="14.25" customHeight="1" x14ac:dyDescent="0.3">
      <c r="B3" s="48">
        <v>45717</v>
      </c>
    </row>
    <row r="4" spans="2:2" ht="14.25" customHeight="1" x14ac:dyDescent="0.3">
      <c r="B4" s="48">
        <v>45748</v>
      </c>
    </row>
    <row r="5" spans="2:2" ht="14.25" customHeight="1" x14ac:dyDescent="0.3">
      <c r="B5" s="48">
        <v>45778</v>
      </c>
    </row>
    <row r="6" spans="2:2" ht="14.25" customHeight="1" x14ac:dyDescent="0.3">
      <c r="B6" s="48">
        <v>45809</v>
      </c>
    </row>
    <row r="7" spans="2:2" ht="14.25" customHeight="1" x14ac:dyDescent="0.3">
      <c r="B7" s="48">
        <v>45839</v>
      </c>
    </row>
    <row r="8" spans="2:2" ht="14.25" customHeight="1" x14ac:dyDescent="0.3">
      <c r="B8" s="48">
        <v>45870</v>
      </c>
    </row>
    <row r="9" spans="2:2" ht="14.25" customHeight="1" x14ac:dyDescent="0.3">
      <c r="B9" s="48">
        <v>45901</v>
      </c>
    </row>
    <row r="10" spans="2:2" ht="14.25" customHeight="1" x14ac:dyDescent="0.3">
      <c r="B10" s="48">
        <v>45931</v>
      </c>
    </row>
    <row r="11" spans="2:2" ht="14.25" customHeight="1" x14ac:dyDescent="0.3">
      <c r="B11" s="48">
        <v>45962</v>
      </c>
    </row>
    <row r="12" spans="2:2" ht="14.25" customHeight="1" x14ac:dyDescent="0.3">
      <c r="B12" s="48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99" t="s">
        <v>0</v>
      </c>
      <c r="B1" s="100"/>
      <c r="C1" s="100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3">
      <c r="A2" s="52" t="s">
        <v>3</v>
      </c>
      <c r="B2" s="52" t="s">
        <v>4</v>
      </c>
      <c r="C2" s="52" t="s">
        <v>5</v>
      </c>
      <c r="D2" s="138" t="s">
        <v>48</v>
      </c>
      <c r="E2" s="97"/>
      <c r="F2" s="98"/>
      <c r="G2" s="138" t="s">
        <v>49</v>
      </c>
      <c r="H2" s="97"/>
      <c r="I2" s="98"/>
      <c r="J2" s="138" t="s">
        <v>50</v>
      </c>
      <c r="K2" s="97"/>
      <c r="L2" s="98"/>
      <c r="M2" s="138" t="s">
        <v>51</v>
      </c>
      <c r="N2" s="97"/>
      <c r="O2" s="98"/>
      <c r="P2" s="138" t="s">
        <v>52</v>
      </c>
      <c r="Q2" s="97"/>
      <c r="R2" s="98"/>
      <c r="S2" s="138" t="s">
        <v>53</v>
      </c>
      <c r="T2" s="97"/>
      <c r="U2" s="98"/>
    </row>
    <row r="3" spans="1:21" ht="30" customHeight="1" x14ac:dyDescent="0.3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3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3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3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3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3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3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3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3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3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3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3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3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3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3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3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3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3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3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3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3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3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3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3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3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3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3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3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3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3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3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3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3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3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3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3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3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3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3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3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3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3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3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3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3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3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3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3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3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3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3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3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3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3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3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3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3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3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3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3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3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3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3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3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3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3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3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3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3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3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3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3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3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3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3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3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3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3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3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3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3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3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3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3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3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3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3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3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3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3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3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3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3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3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3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3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3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3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3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3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3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3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3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3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3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3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3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3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3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3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3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3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3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3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3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3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3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3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3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3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3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3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3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3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3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3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3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3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3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3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3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3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3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3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3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3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3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3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3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3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3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3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3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3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3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3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3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3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3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3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3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3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3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3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3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3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3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3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3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3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3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3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3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3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3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3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3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3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3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3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3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3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3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3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3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3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3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3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3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3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3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3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3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3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3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3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3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3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3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3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3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3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3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3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3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3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3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3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3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3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3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3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3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3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3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3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3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3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3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3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3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3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3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3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3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3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3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3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3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3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3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3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3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3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3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3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3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3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3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3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3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3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3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3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3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3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3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3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3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3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3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3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3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3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3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3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3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3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3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3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3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3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3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3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3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3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3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3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3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3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3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3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3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3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3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3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3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3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3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3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3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3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3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3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3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3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3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3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3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3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3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3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3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3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3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3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3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3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3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3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3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3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3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3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3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3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3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3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3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3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3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3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3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3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3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3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3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3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3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3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3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3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3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3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3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3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3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3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3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3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3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3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3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3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3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3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3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3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3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3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3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3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3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3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3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3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3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3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3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3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3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3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3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3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3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3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3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3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3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3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3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3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3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3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3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3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3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3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3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3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3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3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3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3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3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3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3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3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3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3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3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3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3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3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3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3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3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3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3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3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3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3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3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3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3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3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3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3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3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3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3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3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3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3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3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3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3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3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3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3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3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3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3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3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3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3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3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3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3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3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3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3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3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3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3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3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3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3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3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3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3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3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3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3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3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3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3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3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3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3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3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3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3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3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3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3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3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3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3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3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3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3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3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3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3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3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3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3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3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3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2025-11-18T02:45:09Z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