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.gemini\antigravity\scratch\dashboard-ketapang\public\data balita per kelurahan\"/>
    </mc:Choice>
  </mc:AlternateContent>
  <xr:revisionPtr revIDLastSave="0" documentId="13_ncr:1_{FFF078A5-2829-4A60-AE38-D25C2920C3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 SKDN 2026" sheetId="1" r:id="rId1"/>
    <sheet name="sinkronize" sheetId="7" r:id="rId2"/>
    <sheet name="bobot komposit" sheetId="6" r:id="rId3"/>
  </sheets>
  <definedNames>
    <definedName name="_xlnm._FilterDatabase" localSheetId="2" hidden="1">'bobot komposit'!$A$5:$Y$48</definedName>
    <definedName name="_xlnm._FilterDatabase" localSheetId="1" hidden="1">sinkronize!$A$1:$H$1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5" i="1" l="1"/>
  <c r="G598" i="1"/>
  <c r="E598" i="1"/>
  <c r="F598" i="1"/>
  <c r="D598" i="1"/>
  <c r="E502" i="1"/>
  <c r="F502" i="1"/>
  <c r="G502" i="1"/>
  <c r="D502" i="1"/>
  <c r="E405" i="1"/>
  <c r="G405" i="1"/>
  <c r="D405" i="1"/>
  <c r="E213" i="1"/>
  <c r="F213" i="1"/>
  <c r="G213" i="1"/>
  <c r="D213" i="1"/>
  <c r="E695" i="1"/>
  <c r="F695" i="1"/>
  <c r="G695" i="1"/>
  <c r="D695" i="1"/>
  <c r="E311" i="1"/>
  <c r="F311" i="1"/>
  <c r="G311" i="1"/>
  <c r="D311" i="1"/>
  <c r="E108" i="1"/>
  <c r="F108" i="1"/>
  <c r="G108" i="1"/>
  <c r="D108" i="1"/>
  <c r="E43" i="1"/>
  <c r="F43" i="1"/>
  <c r="G43" i="1"/>
  <c r="D43" i="1"/>
  <c r="E35" i="1"/>
  <c r="F35" i="1"/>
  <c r="G35" i="1"/>
  <c r="D35" i="1"/>
  <c r="G27" i="1"/>
  <c r="E27" i="1"/>
  <c r="F27" i="1"/>
  <c r="D27" i="1"/>
  <c r="E19" i="1"/>
  <c r="F19" i="1"/>
  <c r="G19" i="1"/>
  <c r="D19" i="1"/>
  <c r="E11" i="1"/>
  <c r="F11" i="1"/>
  <c r="G11" i="1"/>
  <c r="D11" i="1"/>
  <c r="K71" i="1" l="1"/>
  <c r="L71" i="1"/>
  <c r="M71" i="1"/>
  <c r="J71" i="1"/>
  <c r="K82" i="1" l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J133" i="1"/>
  <c r="J132" i="1"/>
  <c r="J131" i="1"/>
  <c r="J130" i="1"/>
  <c r="J129" i="1"/>
  <c r="J128" i="1"/>
  <c r="J127" i="1"/>
  <c r="J126" i="1"/>
  <c r="J122" i="1"/>
  <c r="J121" i="1"/>
  <c r="J120" i="1"/>
  <c r="J119" i="1"/>
  <c r="J118" i="1"/>
  <c r="J117" i="1"/>
  <c r="J116" i="1"/>
  <c r="J115" i="1"/>
  <c r="J111" i="1"/>
  <c r="J110" i="1"/>
  <c r="J109" i="1"/>
  <c r="J108" i="1"/>
  <c r="J107" i="1"/>
  <c r="J106" i="1"/>
  <c r="J105" i="1"/>
  <c r="J104" i="1"/>
  <c r="J100" i="1"/>
  <c r="J99" i="1"/>
  <c r="J98" i="1"/>
  <c r="J97" i="1"/>
  <c r="J96" i="1"/>
  <c r="J95" i="1"/>
  <c r="J94" i="1"/>
  <c r="J93" i="1"/>
  <c r="J89" i="1"/>
  <c r="J88" i="1"/>
  <c r="J87" i="1"/>
  <c r="J86" i="1"/>
  <c r="J85" i="1"/>
  <c r="J84" i="1"/>
  <c r="J83" i="1"/>
  <c r="J82" i="1"/>
  <c r="K72" i="1"/>
  <c r="L72" i="1"/>
  <c r="M72" i="1"/>
  <c r="K75" i="1"/>
  <c r="L75" i="1"/>
  <c r="M75" i="1"/>
  <c r="K77" i="1"/>
  <c r="L77" i="1"/>
  <c r="M77" i="1"/>
  <c r="K78" i="1"/>
  <c r="L78" i="1"/>
  <c r="M78" i="1"/>
  <c r="J78" i="1"/>
  <c r="J77" i="1"/>
  <c r="J75" i="1"/>
  <c r="J72" i="1"/>
  <c r="P54" i="1"/>
  <c r="D44" i="6" s="1"/>
  <c r="Q54" i="1"/>
  <c r="J44" i="6" s="1"/>
  <c r="R54" i="1"/>
  <c r="P44" i="6" s="1"/>
  <c r="S54" i="1"/>
  <c r="U44" i="6" s="1"/>
  <c r="P55" i="1"/>
  <c r="D45" i="6" s="1"/>
  <c r="Q55" i="1"/>
  <c r="J45" i="6" s="1"/>
  <c r="R55" i="1"/>
  <c r="P45" i="6" s="1"/>
  <c r="S55" i="1"/>
  <c r="U45" i="6" s="1"/>
  <c r="P56" i="1"/>
  <c r="D46" i="6" s="1"/>
  <c r="Q56" i="1"/>
  <c r="J46" i="6" s="1"/>
  <c r="R56" i="1"/>
  <c r="P46" i="6" s="1"/>
  <c r="S56" i="1"/>
  <c r="U46" i="6" s="1"/>
  <c r="P57" i="1"/>
  <c r="D47" i="6" s="1"/>
  <c r="Q57" i="1"/>
  <c r="J47" i="6" s="1"/>
  <c r="R57" i="1"/>
  <c r="P47" i="6" s="1"/>
  <c r="S57" i="1"/>
  <c r="U47" i="6" s="1"/>
  <c r="P58" i="1"/>
  <c r="D48" i="6" s="1"/>
  <c r="Q58" i="1"/>
  <c r="J48" i="6" s="1"/>
  <c r="R58" i="1"/>
  <c r="P48" i="6" s="1"/>
  <c r="S58" i="1"/>
  <c r="U48" i="6" s="1"/>
  <c r="Q53" i="1"/>
  <c r="J43" i="6" s="1"/>
  <c r="R53" i="1"/>
  <c r="P43" i="6" s="1"/>
  <c r="S53" i="1"/>
  <c r="U43" i="6" s="1"/>
  <c r="P53" i="1"/>
  <c r="D43" i="6" s="1"/>
  <c r="P49" i="1"/>
  <c r="D39" i="6" s="1"/>
  <c r="Q49" i="1"/>
  <c r="J39" i="6" s="1"/>
  <c r="R49" i="1"/>
  <c r="P39" i="6" s="1"/>
  <c r="S49" i="1"/>
  <c r="U39" i="6" s="1"/>
  <c r="P50" i="1"/>
  <c r="D40" i="6" s="1"/>
  <c r="Q50" i="1"/>
  <c r="J40" i="6" s="1"/>
  <c r="R50" i="1"/>
  <c r="P40" i="6" s="1"/>
  <c r="S50" i="1"/>
  <c r="U40" i="6" s="1"/>
  <c r="P51" i="1"/>
  <c r="D41" i="6" s="1"/>
  <c r="Q51" i="1"/>
  <c r="J41" i="6" s="1"/>
  <c r="R51" i="1"/>
  <c r="P41" i="6" s="1"/>
  <c r="S51" i="1"/>
  <c r="U41" i="6" s="1"/>
  <c r="P52" i="1"/>
  <c r="D42" i="6" s="1"/>
  <c r="Q52" i="1"/>
  <c r="J42" i="6" s="1"/>
  <c r="R52" i="1"/>
  <c r="P42" i="6" s="1"/>
  <c r="S52" i="1"/>
  <c r="U42" i="6" s="1"/>
  <c r="Q48" i="1"/>
  <c r="J38" i="6" s="1"/>
  <c r="R48" i="1"/>
  <c r="P38" i="6" s="1"/>
  <c r="S48" i="1"/>
  <c r="U38" i="6" s="1"/>
  <c r="P48" i="1"/>
  <c r="D38" i="6" s="1"/>
  <c r="P44" i="1"/>
  <c r="D34" i="6" s="1"/>
  <c r="Q44" i="1"/>
  <c r="J34" i="6" s="1"/>
  <c r="R44" i="1"/>
  <c r="P34" i="6" s="1"/>
  <c r="S44" i="1"/>
  <c r="U34" i="6" s="1"/>
  <c r="P45" i="1"/>
  <c r="D35" i="6" s="1"/>
  <c r="Q45" i="1"/>
  <c r="J35" i="6" s="1"/>
  <c r="R45" i="1"/>
  <c r="P35" i="6" s="1"/>
  <c r="S45" i="1"/>
  <c r="U35" i="6" s="1"/>
  <c r="P46" i="1"/>
  <c r="D36" i="6" s="1"/>
  <c r="Q46" i="1"/>
  <c r="J36" i="6" s="1"/>
  <c r="R46" i="1"/>
  <c r="P36" i="6" s="1"/>
  <c r="S46" i="1"/>
  <c r="U36" i="6" s="1"/>
  <c r="P47" i="1"/>
  <c r="D37" i="6" s="1"/>
  <c r="Q47" i="1"/>
  <c r="J37" i="6" s="1"/>
  <c r="R47" i="1"/>
  <c r="P37" i="6" s="1"/>
  <c r="S47" i="1"/>
  <c r="U37" i="6" s="1"/>
  <c r="Q43" i="1"/>
  <c r="J33" i="6" s="1"/>
  <c r="R43" i="1"/>
  <c r="P33" i="6" s="1"/>
  <c r="S43" i="1"/>
  <c r="U33" i="6" s="1"/>
  <c r="P43" i="1"/>
  <c r="D33" i="6" s="1"/>
  <c r="P40" i="1"/>
  <c r="D30" i="6" s="1"/>
  <c r="Q40" i="1"/>
  <c r="J30" i="6" s="1"/>
  <c r="R40" i="1"/>
  <c r="P30" i="6" s="1"/>
  <c r="S40" i="1"/>
  <c r="U30" i="6" s="1"/>
  <c r="P41" i="1"/>
  <c r="D31" i="6" s="1"/>
  <c r="Q41" i="1"/>
  <c r="J31" i="6" s="1"/>
  <c r="R41" i="1"/>
  <c r="P31" i="6" s="1"/>
  <c r="S41" i="1"/>
  <c r="U31" i="6" s="1"/>
  <c r="P42" i="1"/>
  <c r="D32" i="6" s="1"/>
  <c r="Q42" i="1"/>
  <c r="J32" i="6" s="1"/>
  <c r="R42" i="1"/>
  <c r="P32" i="6" s="1"/>
  <c r="S42" i="1"/>
  <c r="U32" i="6" s="1"/>
  <c r="Q39" i="1"/>
  <c r="J29" i="6" s="1"/>
  <c r="R39" i="1"/>
  <c r="P29" i="6" s="1"/>
  <c r="S39" i="1"/>
  <c r="U29" i="6" s="1"/>
  <c r="P39" i="1"/>
  <c r="D29" i="6" s="1"/>
  <c r="P38" i="1"/>
  <c r="D28" i="6" s="1"/>
  <c r="Q38" i="1"/>
  <c r="J28" i="6" s="1"/>
  <c r="R38" i="1"/>
  <c r="P28" i="6" s="1"/>
  <c r="S38" i="1"/>
  <c r="U28" i="6" s="1"/>
  <c r="P34" i="1"/>
  <c r="D24" i="6" s="1"/>
  <c r="Q34" i="1"/>
  <c r="J24" i="6" s="1"/>
  <c r="R34" i="1"/>
  <c r="P24" i="6" s="1"/>
  <c r="S34" i="1"/>
  <c r="U24" i="6" s="1"/>
  <c r="P35" i="1"/>
  <c r="D25" i="6" s="1"/>
  <c r="Q35" i="1"/>
  <c r="J25" i="6" s="1"/>
  <c r="R35" i="1"/>
  <c r="P25" i="6" s="1"/>
  <c r="S35" i="1"/>
  <c r="U25" i="6" s="1"/>
  <c r="P36" i="1"/>
  <c r="D26" i="6" s="1"/>
  <c r="Q36" i="1"/>
  <c r="J26" i="6" s="1"/>
  <c r="R36" i="1"/>
  <c r="P26" i="6" s="1"/>
  <c r="S36" i="1"/>
  <c r="U26" i="6" s="1"/>
  <c r="P37" i="1"/>
  <c r="D27" i="6" s="1"/>
  <c r="Q37" i="1"/>
  <c r="J27" i="6" s="1"/>
  <c r="R37" i="1"/>
  <c r="P27" i="6" s="1"/>
  <c r="S37" i="1"/>
  <c r="U27" i="6" s="1"/>
  <c r="Q33" i="1"/>
  <c r="J23" i="6" s="1"/>
  <c r="R33" i="1"/>
  <c r="P23" i="6" s="1"/>
  <c r="S33" i="1"/>
  <c r="U23" i="6" s="1"/>
  <c r="P33" i="1"/>
  <c r="D23" i="6" s="1"/>
  <c r="P30" i="1"/>
  <c r="D20" i="6" s="1"/>
  <c r="Q30" i="1"/>
  <c r="J20" i="6" s="1"/>
  <c r="R30" i="1"/>
  <c r="P20" i="6" s="1"/>
  <c r="S30" i="1"/>
  <c r="U20" i="6" s="1"/>
  <c r="P31" i="1"/>
  <c r="D21" i="6" s="1"/>
  <c r="Q31" i="1"/>
  <c r="J21" i="6" s="1"/>
  <c r="R31" i="1"/>
  <c r="P21" i="6" s="1"/>
  <c r="S31" i="1"/>
  <c r="U21" i="6" s="1"/>
  <c r="P32" i="1"/>
  <c r="D22" i="6" s="1"/>
  <c r="Q32" i="1"/>
  <c r="J22" i="6" s="1"/>
  <c r="R32" i="1"/>
  <c r="P22" i="6" s="1"/>
  <c r="S32" i="1"/>
  <c r="U22" i="6" s="1"/>
  <c r="Q29" i="1"/>
  <c r="J19" i="6" s="1"/>
  <c r="R29" i="1"/>
  <c r="P19" i="6" s="1"/>
  <c r="S29" i="1"/>
  <c r="U19" i="6" s="1"/>
  <c r="P29" i="1"/>
  <c r="D19" i="6" s="1"/>
  <c r="Q16" i="1"/>
  <c r="J6" i="6" s="1"/>
  <c r="R16" i="1"/>
  <c r="P6" i="6" s="1"/>
  <c r="S16" i="1"/>
  <c r="U6" i="6" s="1"/>
  <c r="Q17" i="1"/>
  <c r="J7" i="6" s="1"/>
  <c r="R17" i="1"/>
  <c r="P7" i="6" s="1"/>
  <c r="S17" i="1"/>
  <c r="U7" i="6" s="1"/>
  <c r="Q18" i="1"/>
  <c r="J8" i="6" s="1"/>
  <c r="R18" i="1"/>
  <c r="P8" i="6" s="1"/>
  <c r="S18" i="1"/>
  <c r="U8" i="6" s="1"/>
  <c r="Q19" i="1"/>
  <c r="J9" i="6" s="1"/>
  <c r="R19" i="1"/>
  <c r="P9" i="6" s="1"/>
  <c r="S19" i="1"/>
  <c r="U9" i="6" s="1"/>
  <c r="Q20" i="1"/>
  <c r="J10" i="6" s="1"/>
  <c r="R20" i="1"/>
  <c r="P10" i="6" s="1"/>
  <c r="S20" i="1"/>
  <c r="U10" i="6" s="1"/>
  <c r="Q21" i="1"/>
  <c r="J11" i="6" s="1"/>
  <c r="R21" i="1"/>
  <c r="P11" i="6" s="1"/>
  <c r="S21" i="1"/>
  <c r="U11" i="6" s="1"/>
  <c r="Q22" i="1"/>
  <c r="J12" i="6" s="1"/>
  <c r="R22" i="1"/>
  <c r="P12" i="6" s="1"/>
  <c r="S22" i="1"/>
  <c r="U12" i="6" s="1"/>
  <c r="Q23" i="1"/>
  <c r="J13" i="6" s="1"/>
  <c r="R23" i="1"/>
  <c r="P13" i="6" s="1"/>
  <c r="S23" i="1"/>
  <c r="U13" i="6" s="1"/>
  <c r="Q24" i="1"/>
  <c r="J14" i="6" s="1"/>
  <c r="R24" i="1"/>
  <c r="P14" i="6" s="1"/>
  <c r="S24" i="1"/>
  <c r="U14" i="6" s="1"/>
  <c r="Q25" i="1"/>
  <c r="J15" i="6" s="1"/>
  <c r="R25" i="1"/>
  <c r="P15" i="6" s="1"/>
  <c r="S25" i="1"/>
  <c r="U15" i="6" s="1"/>
  <c r="Q26" i="1"/>
  <c r="J16" i="6" s="1"/>
  <c r="R26" i="1"/>
  <c r="P16" i="6" s="1"/>
  <c r="S26" i="1"/>
  <c r="U16" i="6" s="1"/>
  <c r="Q27" i="1"/>
  <c r="J17" i="6" s="1"/>
  <c r="R27" i="1"/>
  <c r="P17" i="6" s="1"/>
  <c r="S27" i="1"/>
  <c r="U17" i="6" s="1"/>
  <c r="Q28" i="1"/>
  <c r="J18" i="6" s="1"/>
  <c r="R28" i="1"/>
  <c r="P18" i="6" s="1"/>
  <c r="S28" i="1"/>
  <c r="U18" i="6" s="1"/>
  <c r="P23" i="1"/>
  <c r="D13" i="6" s="1"/>
  <c r="P24" i="1"/>
  <c r="D14" i="6" s="1"/>
  <c r="P25" i="1"/>
  <c r="D15" i="6" s="1"/>
  <c r="P26" i="1"/>
  <c r="D16" i="6" s="1"/>
  <c r="P27" i="1"/>
  <c r="D17" i="6" s="1"/>
  <c r="P28" i="1"/>
  <c r="D18" i="6" s="1"/>
  <c r="P22" i="1"/>
  <c r="D12" i="6" s="1"/>
  <c r="P17" i="1"/>
  <c r="D7" i="6" s="1"/>
  <c r="P18" i="1"/>
  <c r="D8" i="6" s="1"/>
  <c r="P19" i="1"/>
  <c r="D9" i="6" s="1"/>
  <c r="P20" i="1"/>
  <c r="D10" i="6" s="1"/>
  <c r="P21" i="1"/>
  <c r="D11" i="6" s="1"/>
  <c r="P16" i="1"/>
  <c r="D6" i="6" s="1"/>
  <c r="M4" i="1" l="1"/>
  <c r="S4" i="1" s="1"/>
  <c r="L4" i="1"/>
  <c r="R4" i="1" s="1"/>
  <c r="K4" i="1"/>
  <c r="K15" i="1" s="1"/>
  <c r="J4" i="1"/>
  <c r="J15" i="1" s="1"/>
  <c r="M67" i="1"/>
  <c r="K67" i="1"/>
  <c r="L67" i="1"/>
  <c r="J67" i="1"/>
  <c r="K56" i="1"/>
  <c r="L45" i="1"/>
  <c r="M56" i="1"/>
  <c r="J56" i="1"/>
  <c r="K34" i="1"/>
  <c r="L34" i="1"/>
  <c r="M34" i="1"/>
  <c r="J34" i="1"/>
  <c r="K23" i="1"/>
  <c r="L23" i="1"/>
  <c r="M23" i="1"/>
  <c r="J23" i="1"/>
  <c r="K12" i="1"/>
  <c r="L12" i="1"/>
  <c r="M12" i="1"/>
  <c r="J12" i="1"/>
  <c r="K66" i="1"/>
  <c r="L66" i="1"/>
  <c r="M66" i="1"/>
  <c r="J66" i="1"/>
  <c r="K44" i="1"/>
  <c r="L55" i="1"/>
  <c r="M55" i="1"/>
  <c r="J55" i="1"/>
  <c r="K33" i="1"/>
  <c r="L33" i="1"/>
  <c r="M33" i="1"/>
  <c r="J33" i="1"/>
  <c r="K22" i="1"/>
  <c r="L22" i="1"/>
  <c r="M22" i="1"/>
  <c r="J22" i="1"/>
  <c r="K11" i="1"/>
  <c r="L11" i="1"/>
  <c r="M11" i="1"/>
  <c r="J11" i="1"/>
  <c r="K76" i="1"/>
  <c r="L76" i="1"/>
  <c r="M76" i="1"/>
  <c r="J76" i="1"/>
  <c r="K54" i="1"/>
  <c r="L54" i="1"/>
  <c r="M54" i="1"/>
  <c r="J43" i="1"/>
  <c r="K32" i="1"/>
  <c r="L32" i="1"/>
  <c r="M32" i="1"/>
  <c r="J32" i="1"/>
  <c r="K21" i="1"/>
  <c r="L21" i="1"/>
  <c r="M21" i="1"/>
  <c r="J21" i="1"/>
  <c r="K10" i="1"/>
  <c r="L10" i="1"/>
  <c r="M10" i="1"/>
  <c r="J10" i="1"/>
  <c r="K64" i="1"/>
  <c r="L64" i="1"/>
  <c r="M64" i="1"/>
  <c r="J64" i="1"/>
  <c r="K53" i="1"/>
  <c r="L53" i="1"/>
  <c r="M42" i="1"/>
  <c r="J53" i="1"/>
  <c r="K31" i="1"/>
  <c r="L31" i="1"/>
  <c r="M31" i="1"/>
  <c r="J31" i="1"/>
  <c r="K20" i="1"/>
  <c r="M20" i="1"/>
  <c r="J20" i="1"/>
  <c r="K9" i="1"/>
  <c r="L9" i="1"/>
  <c r="M9" i="1"/>
  <c r="J9" i="1"/>
  <c r="K74" i="1"/>
  <c r="L74" i="1"/>
  <c r="M74" i="1"/>
  <c r="J74" i="1"/>
  <c r="K63" i="1"/>
  <c r="L63" i="1"/>
  <c r="M63" i="1"/>
  <c r="J63" i="1"/>
  <c r="K52" i="1"/>
  <c r="L52" i="1"/>
  <c r="M52" i="1"/>
  <c r="J52" i="1"/>
  <c r="K30" i="1"/>
  <c r="L30" i="1"/>
  <c r="M30" i="1"/>
  <c r="J30" i="1"/>
  <c r="K19" i="1"/>
  <c r="L19" i="1"/>
  <c r="M19" i="1"/>
  <c r="J19" i="1"/>
  <c r="K8" i="1"/>
  <c r="L8" i="1"/>
  <c r="M8" i="1"/>
  <c r="J8" i="1"/>
  <c r="J73" i="1"/>
  <c r="K62" i="1"/>
  <c r="L62" i="1"/>
  <c r="M62" i="1"/>
  <c r="J62" i="1"/>
  <c r="K51" i="1"/>
  <c r="L51" i="1"/>
  <c r="M51" i="1"/>
  <c r="J51" i="1"/>
  <c r="K40" i="1"/>
  <c r="L40" i="1"/>
  <c r="M40" i="1"/>
  <c r="J40" i="1"/>
  <c r="K29" i="1"/>
  <c r="L29" i="1"/>
  <c r="M29" i="1"/>
  <c r="J29" i="1"/>
  <c r="K18" i="1"/>
  <c r="L18" i="1"/>
  <c r="M18" i="1"/>
  <c r="J18" i="1"/>
  <c r="K7" i="1"/>
  <c r="L7" i="1"/>
  <c r="M7" i="1"/>
  <c r="J7" i="1"/>
  <c r="K61" i="1"/>
  <c r="L61" i="1"/>
  <c r="M61" i="1"/>
  <c r="J61" i="1"/>
  <c r="K50" i="1"/>
  <c r="L50" i="1"/>
  <c r="M50" i="1"/>
  <c r="J50" i="1"/>
  <c r="K39" i="1"/>
  <c r="L39" i="1"/>
  <c r="M39" i="1"/>
  <c r="J39" i="1"/>
  <c r="K28" i="1"/>
  <c r="L28" i="1"/>
  <c r="M28" i="1"/>
  <c r="J28" i="1"/>
  <c r="K17" i="1"/>
  <c r="L17" i="1"/>
  <c r="M17" i="1"/>
  <c r="J17" i="1"/>
  <c r="K6" i="1"/>
  <c r="L6" i="1"/>
  <c r="M6" i="1"/>
  <c r="J6" i="1"/>
  <c r="K60" i="1"/>
  <c r="L60" i="1"/>
  <c r="M60" i="1"/>
  <c r="J60" i="1"/>
  <c r="K49" i="1"/>
  <c r="L49" i="1"/>
  <c r="M49" i="1"/>
  <c r="J49" i="1"/>
  <c r="K38" i="1"/>
  <c r="L38" i="1"/>
  <c r="M38" i="1"/>
  <c r="J38" i="1"/>
  <c r="K27" i="1"/>
  <c r="L27" i="1"/>
  <c r="M27" i="1"/>
  <c r="J27" i="1"/>
  <c r="K16" i="1"/>
  <c r="L16" i="1"/>
  <c r="M16" i="1"/>
  <c r="J16" i="1"/>
  <c r="K5" i="1"/>
  <c r="L5" i="1"/>
  <c r="M5" i="1"/>
  <c r="J5" i="1"/>
  <c r="P7" i="1" l="1"/>
  <c r="S6" i="1"/>
  <c r="K45" i="1"/>
  <c r="Q12" i="1" s="1"/>
  <c r="L42" i="1"/>
  <c r="R9" i="1" s="1"/>
  <c r="J54" i="1"/>
  <c r="M15" i="1"/>
  <c r="S15" i="1" s="1"/>
  <c r="L56" i="1"/>
  <c r="R12" i="1" s="1"/>
  <c r="P5" i="1"/>
  <c r="Q6" i="1"/>
  <c r="J44" i="1"/>
  <c r="P11" i="1" s="1"/>
  <c r="K55" i="1"/>
  <c r="Q11" i="1" s="1"/>
  <c r="J65" i="1"/>
  <c r="P4" i="1"/>
  <c r="P15" i="1"/>
  <c r="J26" i="1"/>
  <c r="J37" i="1" s="1"/>
  <c r="J48" i="1" s="1"/>
  <c r="J59" i="1" s="1"/>
  <c r="J70" i="1" s="1"/>
  <c r="J81" i="1" s="1"/>
  <c r="J92" i="1" s="1"/>
  <c r="J103" i="1" s="1"/>
  <c r="J114" i="1" s="1"/>
  <c r="J125" i="1" s="1"/>
  <c r="P6" i="1"/>
  <c r="Q15" i="1"/>
  <c r="K26" i="1"/>
  <c r="K37" i="1" s="1"/>
  <c r="K48" i="1" s="1"/>
  <c r="K59" i="1" s="1"/>
  <c r="K70" i="1" s="1"/>
  <c r="K81" i="1" s="1"/>
  <c r="K92" i="1" s="1"/>
  <c r="K103" i="1" s="1"/>
  <c r="K114" i="1" s="1"/>
  <c r="K125" i="1" s="1"/>
  <c r="R6" i="1"/>
  <c r="M73" i="1"/>
  <c r="S7" i="1" s="1"/>
  <c r="S5" i="1"/>
  <c r="M43" i="1"/>
  <c r="M53" i="1"/>
  <c r="S9" i="1" s="1"/>
  <c r="L73" i="1"/>
  <c r="R7" i="1" s="1"/>
  <c r="R5" i="1"/>
  <c r="L15" i="1"/>
  <c r="J45" i="1"/>
  <c r="P12" i="1" s="1"/>
  <c r="M44" i="1"/>
  <c r="S11" i="1" s="1"/>
  <c r="L43" i="1"/>
  <c r="K42" i="1"/>
  <c r="Q9" i="1" s="1"/>
  <c r="M65" i="1"/>
  <c r="Q4" i="1"/>
  <c r="J42" i="1"/>
  <c r="P9" i="1" s="1"/>
  <c r="M45" i="1"/>
  <c r="S12" i="1" s="1"/>
  <c r="L44" i="1"/>
  <c r="R11" i="1" s="1"/>
  <c r="K43" i="1"/>
  <c r="L41" i="1"/>
  <c r="R8" i="1" s="1"/>
  <c r="L65" i="1"/>
  <c r="K73" i="1"/>
  <c r="Q7" i="1" s="1"/>
  <c r="Q5" i="1"/>
  <c r="K65" i="1"/>
  <c r="M41" i="1"/>
  <c r="S8" i="1" s="1"/>
  <c r="K41" i="1"/>
  <c r="Q8" i="1" s="1"/>
  <c r="J41" i="1"/>
  <c r="P8" i="1" s="1"/>
  <c r="K18" i="6"/>
  <c r="Q18" i="6"/>
  <c r="Q17" i="6"/>
  <c r="K17" i="6"/>
  <c r="Q15" i="6"/>
  <c r="K15" i="6"/>
  <c r="Q16" i="6"/>
  <c r="K16" i="6"/>
  <c r="E16" i="6"/>
  <c r="E42" i="6"/>
  <c r="Q42" i="6"/>
  <c r="K42" i="6"/>
  <c r="Q41" i="6"/>
  <c r="K41" i="6"/>
  <c r="E41" i="6"/>
  <c r="K40" i="6"/>
  <c r="Q40" i="6"/>
  <c r="E40" i="6"/>
  <c r="E39" i="6"/>
  <c r="Q39" i="6"/>
  <c r="K39" i="6"/>
  <c r="Q38" i="6"/>
  <c r="K38" i="6"/>
  <c r="E38" i="6"/>
  <c r="E37" i="6"/>
  <c r="K37" i="6"/>
  <c r="Q37" i="6"/>
  <c r="Q45" i="6"/>
  <c r="K45" i="6"/>
  <c r="E45" i="6"/>
  <c r="Q48" i="6"/>
  <c r="K48" i="6"/>
  <c r="K44" i="6"/>
  <c r="Q47" i="6"/>
  <c r="K47" i="6"/>
  <c r="Q43" i="6"/>
  <c r="K43" i="6"/>
  <c r="Q46" i="6"/>
  <c r="K46" i="6"/>
  <c r="E46" i="6"/>
  <c r="Q33" i="6"/>
  <c r="K33" i="6"/>
  <c r="E33" i="6"/>
  <c r="Q36" i="6"/>
  <c r="K36" i="6"/>
  <c r="E36" i="6"/>
  <c r="Q35" i="6"/>
  <c r="K35" i="6"/>
  <c r="E35" i="6"/>
  <c r="Q34" i="6"/>
  <c r="K34" i="6"/>
  <c r="E34" i="6"/>
  <c r="K30" i="6"/>
  <c r="Q30" i="6"/>
  <c r="K29" i="6"/>
  <c r="Q29" i="6"/>
  <c r="Q31" i="6"/>
  <c r="K31" i="6"/>
  <c r="K32" i="6"/>
  <c r="E24" i="6"/>
  <c r="Q24" i="6"/>
  <c r="K24" i="6"/>
  <c r="K25" i="6"/>
  <c r="E25" i="6"/>
  <c r="Q25" i="6"/>
  <c r="E27" i="6"/>
  <c r="K27" i="6"/>
  <c r="Q27" i="6"/>
  <c r="K23" i="6"/>
  <c r="Q23" i="6"/>
  <c r="E23" i="6"/>
  <c r="Q28" i="6"/>
  <c r="E28" i="6"/>
  <c r="K28" i="6"/>
  <c r="K26" i="6"/>
  <c r="Q26" i="6"/>
  <c r="E26" i="6"/>
  <c r="K21" i="6"/>
  <c r="E21" i="6"/>
  <c r="Q21" i="6"/>
  <c r="K20" i="6"/>
  <c r="Q20" i="6"/>
  <c r="E20" i="6"/>
  <c r="Q19" i="6"/>
  <c r="E19" i="6"/>
  <c r="K19" i="6"/>
  <c r="Q22" i="6"/>
  <c r="K22" i="6"/>
  <c r="E22" i="6"/>
  <c r="K12" i="6"/>
  <c r="Q12" i="6"/>
  <c r="K14" i="6"/>
  <c r="Q14" i="6"/>
  <c r="K10" i="6"/>
  <c r="Q10" i="6"/>
  <c r="E10" i="6"/>
  <c r="K6" i="6"/>
  <c r="E6" i="6"/>
  <c r="Q6" i="6"/>
  <c r="K9" i="6"/>
  <c r="E9" i="6"/>
  <c r="Q9" i="6"/>
  <c r="Q8" i="6"/>
  <c r="E8" i="6"/>
  <c r="K8" i="6"/>
  <c r="E11" i="6"/>
  <c r="K11" i="6"/>
  <c r="Q11" i="6"/>
  <c r="K7" i="6"/>
  <c r="Q7" i="6"/>
  <c r="E7" i="6"/>
  <c r="Q44" i="6"/>
  <c r="Q32" i="6"/>
  <c r="M26" i="1" l="1"/>
  <c r="M37" i="1" s="1"/>
  <c r="M48" i="1" s="1"/>
  <c r="M59" i="1" s="1"/>
  <c r="M70" i="1" s="1"/>
  <c r="M81" i="1" s="1"/>
  <c r="M92" i="1" s="1"/>
  <c r="M103" i="1" s="1"/>
  <c r="M114" i="1" s="1"/>
  <c r="M125" i="1" s="1"/>
  <c r="P10" i="1"/>
  <c r="S10" i="1"/>
  <c r="Q10" i="1"/>
  <c r="R10" i="1"/>
  <c r="R15" i="1"/>
  <c r="L26" i="1"/>
  <c r="L37" i="1" s="1"/>
  <c r="L48" i="1" s="1"/>
  <c r="L59" i="1" s="1"/>
  <c r="L70" i="1" s="1"/>
  <c r="L81" i="1" s="1"/>
  <c r="L92" i="1" s="1"/>
  <c r="L103" i="1" s="1"/>
  <c r="L114" i="1" s="1"/>
  <c r="L125" i="1" s="1"/>
  <c r="E48" i="6"/>
  <c r="Y48" i="6" s="1"/>
  <c r="E31" i="6"/>
  <c r="Y31" i="6" s="1"/>
  <c r="E17" i="6"/>
  <c r="Y17" i="6" s="1"/>
  <c r="E15" i="6"/>
  <c r="Y15" i="6" s="1"/>
  <c r="E32" i="6"/>
  <c r="Y32" i="6" s="1"/>
  <c r="E47" i="6"/>
  <c r="Y47" i="6" s="1"/>
  <c r="E30" i="6"/>
  <c r="Y30" i="6" s="1"/>
  <c r="E29" i="6"/>
  <c r="Y29" i="6" s="1"/>
  <c r="E14" i="6"/>
  <c r="Y14" i="6" s="1"/>
  <c r="E12" i="6"/>
  <c r="Y12" i="6" s="1"/>
  <c r="E44" i="6"/>
  <c r="Y44" i="6" s="1"/>
  <c r="E43" i="6"/>
  <c r="Y43" i="6" s="1"/>
  <c r="Y23" i="6"/>
  <c r="Y41" i="6"/>
  <c r="Y8" i="6"/>
  <c r="Y36" i="6"/>
  <c r="Y35" i="6"/>
  <c r="Y34" i="6"/>
  <c r="Y11" i="6"/>
  <c r="Y7" i="6"/>
  <c r="Y21" i="6"/>
  <c r="Y22" i="6"/>
  <c r="Y27" i="6"/>
  <c r="Y39" i="6"/>
  <c r="Y9" i="6"/>
  <c r="Y33" i="6"/>
  <c r="Y46" i="6"/>
  <c r="Y16" i="6"/>
  <c r="Y40" i="6"/>
  <c r="Y19" i="6"/>
  <c r="Y24" i="6"/>
  <c r="Y25" i="6"/>
  <c r="Y26" i="6"/>
  <c r="Y42" i="6"/>
  <c r="Y28" i="6"/>
  <c r="Y45" i="6"/>
  <c r="Y20" i="6"/>
  <c r="Y37" i="6"/>
  <c r="Y38" i="6"/>
  <c r="Y10" i="6"/>
  <c r="Y6" i="6"/>
  <c r="Q13" i="6"/>
  <c r="K13" i="6" l="1"/>
  <c r="E13" i="6" l="1"/>
  <c r="Y13" i="6" s="1"/>
  <c r="E18" i="6"/>
  <c r="Y18" i="6" s="1"/>
</calcChain>
</file>

<file path=xl/sharedStrings.xml><?xml version="1.0" encoding="utf-8"?>
<sst xmlns="http://schemas.openxmlformats.org/spreadsheetml/2006/main" count="2054" uniqueCount="99">
  <si>
    <t>KECAMATAN</t>
  </si>
  <si>
    <t>Ciwandan</t>
  </si>
  <si>
    <t>GUNUNG SUGIH</t>
  </si>
  <si>
    <t>KEPUH</t>
  </si>
  <si>
    <t>RANDAKARI</t>
  </si>
  <si>
    <t>TEGALRATU</t>
  </si>
  <si>
    <t>BANJARNEGARA</t>
  </si>
  <si>
    <t>KUBANGSARI</t>
  </si>
  <si>
    <t>Citangkil</t>
  </si>
  <si>
    <t>SAMANGRAYA</t>
  </si>
  <si>
    <t>DERINGO</t>
  </si>
  <si>
    <t>WARNASARI</t>
  </si>
  <si>
    <t>KEBONSARI</t>
  </si>
  <si>
    <t>LEBAK DENOK</t>
  </si>
  <si>
    <t>TAMANBARU</t>
  </si>
  <si>
    <t>CITANGKIL</t>
  </si>
  <si>
    <t>Pulomerak</t>
  </si>
  <si>
    <t>MEKARSARI</t>
  </si>
  <si>
    <t>TAMANSARI</t>
  </si>
  <si>
    <t>LEBAK GEDE</t>
  </si>
  <si>
    <t>SURALAYA</t>
  </si>
  <si>
    <t>Purwakarta</t>
  </si>
  <si>
    <t>PABEAN</t>
  </si>
  <si>
    <t>TEGAL BUNDER</t>
  </si>
  <si>
    <t>PURWAKARTA</t>
  </si>
  <si>
    <t>KOTABUMI</t>
  </si>
  <si>
    <t>KEBON DALEM</t>
  </si>
  <si>
    <t>RAMANUJU</t>
  </si>
  <si>
    <t>Grogol</t>
  </si>
  <si>
    <t>GEREM</t>
  </si>
  <si>
    <t>RAWA ARUM</t>
  </si>
  <si>
    <t>GROGOL</t>
  </si>
  <si>
    <t>KOTASARI</t>
  </si>
  <si>
    <t>Cilegon</t>
  </si>
  <si>
    <t>CIWADUK</t>
  </si>
  <si>
    <t>CIWEDUS</t>
  </si>
  <si>
    <t>BENDUNGAN</t>
  </si>
  <si>
    <t>KETILENG</t>
  </si>
  <si>
    <t>BAGENDUNG</t>
  </si>
  <si>
    <t>Jombang</t>
  </si>
  <si>
    <t>JOMBANG WETAN</t>
  </si>
  <si>
    <t>MASIGIT</t>
  </si>
  <si>
    <t>PANGGUNGRAWI</t>
  </si>
  <si>
    <t>GEDONG DALEM</t>
  </si>
  <si>
    <t>SUKMAJAYA</t>
  </si>
  <si>
    <t>Cibeber</t>
  </si>
  <si>
    <t>CIBEBER</t>
  </si>
  <si>
    <t>KEDALEMAN</t>
  </si>
  <si>
    <t>KALITIMBANG</t>
  </si>
  <si>
    <t>KARANGASEM</t>
  </si>
  <si>
    <t>BULAKAN</t>
  </si>
  <si>
    <t>CIKERAI</t>
  </si>
  <si>
    <t>NO</t>
  </si>
  <si>
    <t>KELURAHAN</t>
  </si>
  <si>
    <t>RATA-RATA</t>
  </si>
  <si>
    <t>Bobot</t>
  </si>
  <si>
    <t>Komposit</t>
  </si>
  <si>
    <t>LEBAKDENOK</t>
  </si>
  <si>
    <t>KARANG ASEM</t>
  </si>
  <si>
    <t>SKPG (Sistem Kewaspadaan Pangan dan Gizi)</t>
  </si>
  <si>
    <t>Citangkil 1</t>
  </si>
  <si>
    <t>Citangkil 2</t>
  </si>
  <si>
    <t>Balita BB Sangat Kurang</t>
  </si>
  <si>
    <t>Balita BB Kurang</t>
  </si>
  <si>
    <t>Balita BB Normal</t>
  </si>
  <si>
    <t>Balita BB Resiko Berlebih</t>
  </si>
  <si>
    <t>Kota Cilegon 2025</t>
  </si>
  <si>
    <t>BB Sgt Krg</t>
  </si>
  <si>
    <t>BB Krg</t>
  </si>
  <si>
    <t>BB Normal</t>
  </si>
  <si>
    <t>BB Lebih</t>
  </si>
  <si>
    <t>JANUARI</t>
  </si>
  <si>
    <t>FEBRUARI</t>
  </si>
  <si>
    <t>MARET</t>
  </si>
  <si>
    <t>JUNI</t>
  </si>
  <si>
    <t>JULI</t>
  </si>
  <si>
    <t>AGUSTUS</t>
  </si>
  <si>
    <t>SEPTEMBER</t>
  </si>
  <si>
    <t>OKTOBER</t>
  </si>
  <si>
    <t>NOVEMBER</t>
  </si>
  <si>
    <t>DESEMBER</t>
  </si>
  <si>
    <t>APRIL</t>
  </si>
  <si>
    <t>MEI</t>
  </si>
  <si>
    <t xml:space="preserve">Lembar Entri Indikator SKPG (Pemantauan status gizi balita) Kota Cilegon </t>
  </si>
  <si>
    <t>JAN</t>
  </si>
  <si>
    <t>FEB</t>
  </si>
  <si>
    <t>DES</t>
  </si>
  <si>
    <t>NOV</t>
  </si>
  <si>
    <t>OKT</t>
  </si>
  <si>
    <t>SEP</t>
  </si>
  <si>
    <t>AUG</t>
  </si>
  <si>
    <t>JUL</t>
  </si>
  <si>
    <t>JUN</t>
  </si>
  <si>
    <t>APR</t>
  </si>
  <si>
    <t>MAR</t>
  </si>
  <si>
    <t>RATA-RATA KEC</t>
  </si>
  <si>
    <t>RATA-RATA KEL</t>
  </si>
  <si>
    <t>WEB</t>
  </si>
  <si>
    <t>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</si>
</sst>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EEFE2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E7EED6"/>
        <bgColor indexed="64"/>
      </patternFill>
    </fill>
    <fill>
      <patternFill patternType="solid">
        <fgColor rgb="FFD1C8DE"/>
        <bgColor indexed="64"/>
      </patternFill>
    </fill>
    <fill>
      <patternFill patternType="solid">
        <fgColor rgb="FFF8A662"/>
        <bgColor indexed="64"/>
      </patternFill>
    </fill>
    <fill>
      <patternFill patternType="solid">
        <fgColor rgb="FFC6BF9A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7" fontId="4" fillId="0" borderId="2" xfId="2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66" fontId="4" fillId="0" borderId="3" xfId="1" applyNumberFormat="1" applyFont="1" applyBorder="1" applyAlignment="1">
      <alignment horizontal="center"/>
    </xf>
    <xf numFmtId="166" fontId="4" fillId="0" borderId="5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166" fontId="4" fillId="0" borderId="1" xfId="1" applyNumberFormat="1" applyFont="1" applyFill="1" applyBorder="1" applyAlignment="1">
      <alignment horizontal="center"/>
    </xf>
    <xf numFmtId="0" fontId="4" fillId="6" borderId="1" xfId="0" applyFont="1" applyFill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4" fillId="0" borderId="1" xfId="0" applyFont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1" fontId="4" fillId="2" borderId="1" xfId="2" applyNumberFormat="1" applyFont="1" applyFill="1" applyBorder="1" applyAlignment="1">
      <alignment horizontal="center"/>
    </xf>
    <xf numFmtId="1" fontId="4" fillId="3" borderId="1" xfId="2" applyNumberFormat="1" applyFont="1" applyFill="1" applyBorder="1" applyAlignment="1">
      <alignment horizontal="center"/>
    </xf>
    <xf numFmtId="0" fontId="4" fillId="0" borderId="11" xfId="0" applyFont="1" applyBorder="1"/>
    <xf numFmtId="0" fontId="4" fillId="7" borderId="3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1" fontId="4" fillId="4" borderId="1" xfId="2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1" fontId="0" fillId="6" borderId="1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/>
    <xf numFmtId="1" fontId="4" fillId="8" borderId="1" xfId="2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/>
    <xf numFmtId="1" fontId="4" fillId="9" borderId="1" xfId="2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left"/>
    </xf>
    <xf numFmtId="0" fontId="4" fillId="10" borderId="1" xfId="0" applyFont="1" applyFill="1" applyBorder="1"/>
    <xf numFmtId="1" fontId="4" fillId="10" borderId="1" xfId="2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4" fillId="11" borderId="1" xfId="0" applyFont="1" applyFill="1" applyBorder="1"/>
    <xf numFmtId="1" fontId="4" fillId="11" borderId="1" xfId="2" applyNumberFormat="1" applyFont="1" applyFill="1" applyBorder="1" applyAlignment="1">
      <alignment horizontal="center"/>
    </xf>
    <xf numFmtId="1" fontId="4" fillId="7" borderId="1" xfId="0" applyNumberFormat="1" applyFont="1" applyFill="1" applyBorder="1"/>
    <xf numFmtId="0" fontId="4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4" fillId="12" borderId="1" xfId="2" applyNumberFormat="1" applyFont="1" applyFill="1" applyBorder="1" applyAlignment="1">
      <alignment horizontal="center"/>
    </xf>
    <xf numFmtId="1" fontId="4" fillId="13" borderId="1" xfId="2" applyNumberFormat="1" applyFont="1" applyFill="1" applyBorder="1" applyAlignment="1">
      <alignment horizontal="center"/>
    </xf>
    <xf numFmtId="1" fontId="4" fillId="14" borderId="1" xfId="2" applyNumberFormat="1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 vertical="center"/>
    </xf>
    <xf numFmtId="1" fontId="4" fillId="16" borderId="1" xfId="2" applyNumberFormat="1" applyFont="1" applyFill="1" applyBorder="1" applyAlignment="1">
      <alignment horizontal="center"/>
    </xf>
    <xf numFmtId="1" fontId="4" fillId="17" borderId="1" xfId="2" applyNumberFormat="1" applyFont="1" applyFill="1" applyBorder="1" applyAlignment="1">
      <alignment horizontal="center"/>
    </xf>
    <xf numFmtId="1" fontId="4" fillId="18" borderId="1" xfId="2" applyNumberFormat="1" applyFont="1" applyFill="1" applyBorder="1" applyAlignment="1">
      <alignment horizontal="center"/>
    </xf>
    <xf numFmtId="1" fontId="4" fillId="19" borderId="1" xfId="2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4" fillId="2" borderId="9" xfId="0" applyFont="1" applyFill="1" applyBorder="1"/>
    <xf numFmtId="0" fontId="4" fillId="0" borderId="9" xfId="0" applyFont="1" applyBorder="1"/>
    <xf numFmtId="0" fontId="4" fillId="3" borderId="9" xfId="0" applyFont="1" applyFill="1" applyBorder="1"/>
    <xf numFmtId="1" fontId="4" fillId="12" borderId="10" xfId="2" applyNumberFormat="1" applyFont="1" applyFill="1" applyBorder="1" applyAlignment="1">
      <alignment horizontal="center"/>
    </xf>
    <xf numFmtId="1" fontId="4" fillId="2" borderId="10" xfId="2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4" borderId="11" xfId="0" applyFont="1" applyFill="1" applyBorder="1" applyAlignment="1">
      <alignment horizontal="left"/>
    </xf>
    <xf numFmtId="1" fontId="4" fillId="14" borderId="10" xfId="2" applyNumberFormat="1" applyFont="1" applyFill="1" applyBorder="1" applyAlignment="1">
      <alignment horizontal="center"/>
    </xf>
    <xf numFmtId="1" fontId="4" fillId="4" borderId="10" xfId="2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1" fontId="4" fillId="13" borderId="10" xfId="2" applyNumberFormat="1" applyFont="1" applyFill="1" applyBorder="1" applyAlignment="1">
      <alignment horizontal="center"/>
    </xf>
    <xf numFmtId="1" fontId="4" fillId="3" borderId="10" xfId="2" applyNumberFormat="1" applyFont="1" applyFill="1" applyBorder="1" applyAlignment="1">
      <alignment horizontal="center"/>
    </xf>
    <xf numFmtId="0" fontId="4" fillId="6" borderId="11" xfId="0" applyFont="1" applyFill="1" applyBorder="1" applyAlignment="1">
      <alignment horizontal="left"/>
    </xf>
    <xf numFmtId="1" fontId="0" fillId="15" borderId="10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left"/>
    </xf>
    <xf numFmtId="1" fontId="4" fillId="16" borderId="10" xfId="2" applyNumberFormat="1" applyFont="1" applyFill="1" applyBorder="1" applyAlignment="1">
      <alignment horizontal="center"/>
    </xf>
    <xf numFmtId="1" fontId="4" fillId="8" borderId="10" xfId="2" applyNumberFormat="1" applyFont="1" applyFill="1" applyBorder="1" applyAlignment="1">
      <alignment horizontal="center"/>
    </xf>
    <xf numFmtId="0" fontId="4" fillId="9" borderId="11" xfId="0" applyFont="1" applyFill="1" applyBorder="1" applyAlignment="1">
      <alignment horizontal="left"/>
    </xf>
    <xf numFmtId="1" fontId="4" fillId="17" borderId="10" xfId="2" applyNumberFormat="1" applyFont="1" applyFill="1" applyBorder="1" applyAlignment="1">
      <alignment horizontal="center"/>
    </xf>
    <xf numFmtId="1" fontId="4" fillId="9" borderId="10" xfId="2" applyNumberFormat="1" applyFont="1" applyFill="1" applyBorder="1" applyAlignment="1">
      <alignment horizontal="center"/>
    </xf>
    <xf numFmtId="0" fontId="4" fillId="10" borderId="11" xfId="0" applyFont="1" applyFill="1" applyBorder="1" applyAlignment="1">
      <alignment horizontal="left"/>
    </xf>
    <xf numFmtId="1" fontId="4" fillId="18" borderId="10" xfId="2" applyNumberFormat="1" applyFont="1" applyFill="1" applyBorder="1" applyAlignment="1">
      <alignment horizontal="center"/>
    </xf>
    <xf numFmtId="1" fontId="4" fillId="10" borderId="10" xfId="2" applyNumberFormat="1" applyFont="1" applyFill="1" applyBorder="1" applyAlignment="1">
      <alignment horizontal="center"/>
    </xf>
    <xf numFmtId="0" fontId="4" fillId="11" borderId="11" xfId="0" applyFont="1" applyFill="1" applyBorder="1" applyAlignment="1">
      <alignment horizontal="left"/>
    </xf>
    <xf numFmtId="1" fontId="4" fillId="19" borderId="10" xfId="2" applyNumberFormat="1" applyFont="1" applyFill="1" applyBorder="1" applyAlignment="1">
      <alignment horizontal="center"/>
    </xf>
    <xf numFmtId="1" fontId="4" fillId="11" borderId="10" xfId="2" applyNumberFormat="1" applyFont="1" applyFill="1" applyBorder="1" applyAlignment="1">
      <alignment horizontal="center"/>
    </xf>
    <xf numFmtId="1" fontId="5" fillId="14" borderId="10" xfId="2" applyNumberFormat="1" applyFont="1" applyFill="1" applyBorder="1" applyAlignment="1">
      <alignment horizontal="center"/>
    </xf>
    <xf numFmtId="1" fontId="2" fillId="15" borderId="10" xfId="0" applyNumberFormat="1" applyFont="1" applyFill="1" applyBorder="1" applyAlignment="1">
      <alignment horizontal="center" vertical="center"/>
    </xf>
    <xf numFmtId="1" fontId="5" fillId="16" borderId="10" xfId="2" applyNumberFormat="1" applyFont="1" applyFill="1" applyBorder="1" applyAlignment="1">
      <alignment horizontal="center"/>
    </xf>
    <xf numFmtId="1" fontId="4" fillId="0" borderId="0" xfId="0" applyNumberFormat="1" applyFont="1"/>
    <xf numFmtId="0" fontId="4" fillId="20" borderId="0" xfId="0" applyFont="1" applyFill="1"/>
    <xf numFmtId="0" fontId="4" fillId="10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7" fillId="0" borderId="0" xfId="2" applyNumberFormat="1" applyFont="1" applyFill="1" applyBorder="1" applyAlignment="1">
      <alignment horizontal="center"/>
    </xf>
    <xf numFmtId="166" fontId="4" fillId="0" borderId="0" xfId="1" applyNumberFormat="1" applyFont="1"/>
    <xf numFmtId="1" fontId="5" fillId="17" borderId="10" xfId="2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colors>
    <mruColors>
      <color rgb="FFC6BF9A"/>
      <color rgb="FFF8A662"/>
      <color rgb="FFD1C8DE"/>
      <color rgb="FFE7EED6"/>
      <color rgb="FFFFFF9B"/>
      <color rgb="FFFFFF65"/>
      <color rgb="FFFEEFE2"/>
      <color rgb="FF3FCDFF"/>
      <color rgb="FFC6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83"/>
  <sheetViews>
    <sheetView tabSelected="1" zoomScaleNormal="100" workbookViewId="0">
      <selection activeCell="D5" sqref="D5:G10"/>
    </sheetView>
  </sheetViews>
  <sheetFormatPr defaultColWidth="9.33203125" defaultRowHeight="14.4" x14ac:dyDescent="0.3"/>
  <cols>
    <col min="1" max="1" width="5.33203125" style="2" customWidth="1"/>
    <col min="2" max="2" width="22.6640625" style="2" customWidth="1"/>
    <col min="3" max="3" width="18.44140625" style="2" customWidth="1"/>
    <col min="4" max="4" width="14.33203125" style="11" customWidth="1"/>
    <col min="5" max="5" width="14" style="11" customWidth="1"/>
    <col min="6" max="7" width="12.6640625" style="11" customWidth="1"/>
    <col min="8" max="8" width="9.33203125" style="2"/>
    <col min="9" max="9" width="13.44140625" style="2" customWidth="1"/>
    <col min="10" max="10" width="12.109375" style="2" bestFit="1" customWidth="1"/>
    <col min="11" max="11" width="11.88671875" style="2" customWidth="1"/>
    <col min="12" max="12" width="11.44140625" style="2" bestFit="1" customWidth="1"/>
    <col min="13" max="13" width="12" style="2" customWidth="1"/>
    <col min="14" max="14" width="9.33203125" style="2"/>
    <col min="15" max="15" width="17" style="2" customWidth="1"/>
    <col min="16" max="16" width="10.6640625" style="2" bestFit="1" customWidth="1"/>
    <col min="17" max="17" width="10.109375" style="2" bestFit="1" customWidth="1"/>
    <col min="18" max="18" width="11.5546875" style="2" bestFit="1" customWidth="1"/>
    <col min="19" max="19" width="10.109375" style="2" bestFit="1" customWidth="1"/>
    <col min="20" max="16384" width="9.33203125" style="2"/>
  </cols>
  <sheetData>
    <row r="1" spans="1:40" ht="18" x14ac:dyDescent="0.3">
      <c r="B1" s="1" t="s">
        <v>83</v>
      </c>
    </row>
    <row r="2" spans="1:40" ht="18" x14ac:dyDescent="0.3">
      <c r="A2" s="1"/>
      <c r="B2" s="1">
        <v>2026</v>
      </c>
    </row>
    <row r="3" spans="1:40" ht="18" x14ac:dyDescent="0.3">
      <c r="A3" s="1"/>
      <c r="B3" s="1"/>
    </row>
    <row r="4" spans="1:40" ht="16.2" customHeight="1" x14ac:dyDescent="0.3">
      <c r="A4" s="15"/>
      <c r="B4" s="56" t="s">
        <v>71</v>
      </c>
      <c r="C4" s="55"/>
      <c r="D4" s="65" t="s">
        <v>67</v>
      </c>
      <c r="E4" s="65" t="s">
        <v>68</v>
      </c>
      <c r="F4" s="65" t="s">
        <v>69</v>
      </c>
      <c r="G4" s="65" t="s">
        <v>70</v>
      </c>
      <c r="I4" s="2" t="s">
        <v>84</v>
      </c>
      <c r="J4" s="2" t="str">
        <f>D4</f>
        <v>BB Sgt Krg</v>
      </c>
      <c r="K4" s="2" t="str">
        <f>E4</f>
        <v>BB Krg</v>
      </c>
      <c r="L4" s="2" t="str">
        <f>F4</f>
        <v>BB Normal</v>
      </c>
      <c r="M4" s="2" t="str">
        <f>G4</f>
        <v>BB Lebih</v>
      </c>
      <c r="O4" s="98" t="s">
        <v>95</v>
      </c>
      <c r="P4" s="98" t="str">
        <f>J4</f>
        <v>BB Sgt Krg</v>
      </c>
      <c r="Q4" s="98" t="str">
        <f>K4</f>
        <v>BB Krg</v>
      </c>
      <c r="R4" s="98" t="str">
        <f>L4</f>
        <v>BB Normal</v>
      </c>
      <c r="S4" s="98" t="str">
        <f>M4</f>
        <v>BB Lebih</v>
      </c>
    </row>
    <row r="5" spans="1:40" s="30" customFormat="1" x14ac:dyDescent="0.3">
      <c r="A5" s="11"/>
      <c r="B5" s="29" t="s">
        <v>1</v>
      </c>
      <c r="C5" s="30" t="s">
        <v>2</v>
      </c>
      <c r="D5" s="57">
        <v>2</v>
      </c>
      <c r="E5" s="33">
        <v>24</v>
      </c>
      <c r="F5" s="57">
        <v>328</v>
      </c>
      <c r="G5" s="33">
        <v>10</v>
      </c>
      <c r="H5" s="2"/>
      <c r="I5" s="2" t="s">
        <v>1</v>
      </c>
      <c r="J5" s="103">
        <f>SUM(D11)</f>
        <v>58</v>
      </c>
      <c r="K5" s="103">
        <f t="shared" ref="K5:M5" si="0">SUM(E11)</f>
        <v>287</v>
      </c>
      <c r="L5" s="103">
        <f t="shared" si="0"/>
        <v>3145</v>
      </c>
      <c r="M5" s="103">
        <f t="shared" si="0"/>
        <v>94</v>
      </c>
      <c r="N5" s="2"/>
      <c r="O5" s="2" t="s">
        <v>1</v>
      </c>
      <c r="P5" s="103">
        <f>AVERAGE(J5+J16+J27+J38+J49+J60+J71+J82+J93+J104+J115+J126)</f>
        <v>58</v>
      </c>
      <c r="Q5" s="103">
        <f t="shared" ref="Q5:S5" si="1">AVERAGE(K5+K16+K27+K38+K49+K60+K71+K82+K93+K104+K115+K126)</f>
        <v>287</v>
      </c>
      <c r="R5" s="103">
        <f t="shared" si="1"/>
        <v>3145</v>
      </c>
      <c r="S5" s="103">
        <f t="shared" si="1"/>
        <v>94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66"/>
    </row>
    <row r="6" spans="1:40" s="30" customFormat="1" x14ac:dyDescent="0.3">
      <c r="A6" s="11"/>
      <c r="B6" s="29" t="s">
        <v>1</v>
      </c>
      <c r="C6" s="30" t="s">
        <v>3</v>
      </c>
      <c r="D6" s="57">
        <v>6</v>
      </c>
      <c r="E6" s="33">
        <v>47</v>
      </c>
      <c r="F6" s="57">
        <v>549</v>
      </c>
      <c r="G6" s="33">
        <v>22</v>
      </c>
      <c r="H6" s="2"/>
      <c r="I6" s="2" t="s">
        <v>8</v>
      </c>
      <c r="J6" s="103">
        <f>SUM(D108)</f>
        <v>38</v>
      </c>
      <c r="K6" s="103">
        <f t="shared" ref="K6:M6" si="2">SUM(E108)</f>
        <v>203</v>
      </c>
      <c r="L6" s="103">
        <f t="shared" si="2"/>
        <v>4253</v>
      </c>
      <c r="M6" s="103">
        <f t="shared" si="2"/>
        <v>234</v>
      </c>
      <c r="N6" s="2"/>
      <c r="O6" s="2" t="s">
        <v>8</v>
      </c>
      <c r="P6" s="103">
        <f>AVERAGE(J6+J17+J28+J39+J50+J61+J72+J83+J94+J105+J116+J127)</f>
        <v>38</v>
      </c>
      <c r="Q6" s="103">
        <f t="shared" ref="Q6:S12" si="3">AVERAGE(K6+K17+K28+K39+K50+K61+K72+K83+K94+K105+K116+K127)</f>
        <v>203</v>
      </c>
      <c r="R6" s="103">
        <f t="shared" si="3"/>
        <v>4253</v>
      </c>
      <c r="S6" s="103">
        <f t="shared" si="3"/>
        <v>234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66"/>
    </row>
    <row r="7" spans="1:40" s="30" customFormat="1" x14ac:dyDescent="0.3">
      <c r="A7" s="11"/>
      <c r="B7" s="29" t="s">
        <v>1</v>
      </c>
      <c r="C7" s="30" t="s">
        <v>4</v>
      </c>
      <c r="D7" s="57">
        <v>8</v>
      </c>
      <c r="E7" s="33">
        <v>21</v>
      </c>
      <c r="F7" s="57">
        <v>551</v>
      </c>
      <c r="G7" s="33">
        <v>7</v>
      </c>
      <c r="H7" s="2"/>
      <c r="I7" s="2" t="s">
        <v>16</v>
      </c>
      <c r="J7" s="103">
        <f>SUM(D213)</f>
        <v>35</v>
      </c>
      <c r="K7" s="103">
        <f t="shared" ref="K7:M7" si="4">SUM(E213)</f>
        <v>198</v>
      </c>
      <c r="L7" s="103">
        <f t="shared" si="4"/>
        <v>2444</v>
      </c>
      <c r="M7" s="103">
        <f t="shared" si="4"/>
        <v>150</v>
      </c>
      <c r="N7" s="2"/>
      <c r="O7" s="2" t="s">
        <v>16</v>
      </c>
      <c r="P7" s="103">
        <f t="shared" ref="P7:P12" si="5">AVERAGE(J7+J18+J29+J40+J51+J62+J73+J84+J95+J106+J117+J128)</f>
        <v>35</v>
      </c>
      <c r="Q7" s="103">
        <f t="shared" si="3"/>
        <v>198</v>
      </c>
      <c r="R7" s="103">
        <f t="shared" si="3"/>
        <v>2444</v>
      </c>
      <c r="S7" s="103">
        <f t="shared" si="3"/>
        <v>150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66"/>
    </row>
    <row r="8" spans="1:40" s="30" customFormat="1" x14ac:dyDescent="0.3">
      <c r="A8" s="11"/>
      <c r="B8" s="29" t="s">
        <v>1</v>
      </c>
      <c r="C8" s="30" t="s">
        <v>5</v>
      </c>
      <c r="D8" s="57">
        <v>16</v>
      </c>
      <c r="E8" s="33">
        <v>85</v>
      </c>
      <c r="F8" s="57">
        <v>706</v>
      </c>
      <c r="G8" s="33">
        <v>33</v>
      </c>
      <c r="H8" s="2"/>
      <c r="I8" s="2" t="s">
        <v>21</v>
      </c>
      <c r="J8" s="103">
        <f>SUM(D311)</f>
        <v>29</v>
      </c>
      <c r="K8" s="103">
        <f t="shared" ref="K8:M8" si="6">SUM(E311)</f>
        <v>94</v>
      </c>
      <c r="L8" s="103">
        <f t="shared" si="6"/>
        <v>1342</v>
      </c>
      <c r="M8" s="103">
        <f t="shared" si="6"/>
        <v>91</v>
      </c>
      <c r="N8" s="2"/>
      <c r="O8" s="2" t="s">
        <v>21</v>
      </c>
      <c r="P8" s="103">
        <f t="shared" si="5"/>
        <v>29</v>
      </c>
      <c r="Q8" s="103">
        <f t="shared" si="3"/>
        <v>94</v>
      </c>
      <c r="R8" s="103">
        <f t="shared" si="3"/>
        <v>1342</v>
      </c>
      <c r="S8" s="103">
        <f t="shared" si="3"/>
        <v>91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66"/>
    </row>
    <row r="9" spans="1:40" s="30" customFormat="1" x14ac:dyDescent="0.3">
      <c r="A9" s="11"/>
      <c r="B9" s="29" t="s">
        <v>1</v>
      </c>
      <c r="C9" s="30" t="s">
        <v>6</v>
      </c>
      <c r="D9" s="57">
        <v>17</v>
      </c>
      <c r="E9" s="33">
        <v>70</v>
      </c>
      <c r="F9" s="57">
        <v>553</v>
      </c>
      <c r="G9" s="33">
        <v>12</v>
      </c>
      <c r="H9" s="2"/>
      <c r="I9" s="2" t="s">
        <v>28</v>
      </c>
      <c r="J9" s="103">
        <f>SUM(D405)</f>
        <v>41</v>
      </c>
      <c r="K9" s="103">
        <f t="shared" ref="K9:M9" si="7">SUM(E405)</f>
        <v>165</v>
      </c>
      <c r="L9" s="103">
        <f t="shared" si="7"/>
        <v>1829</v>
      </c>
      <c r="M9" s="103">
        <f t="shared" si="7"/>
        <v>100</v>
      </c>
      <c r="N9" s="2"/>
      <c r="O9" s="2" t="s">
        <v>28</v>
      </c>
      <c r="P9" s="103">
        <f t="shared" si="5"/>
        <v>41</v>
      </c>
      <c r="Q9" s="103">
        <f t="shared" si="3"/>
        <v>165</v>
      </c>
      <c r="R9" s="103">
        <f t="shared" si="3"/>
        <v>1829</v>
      </c>
      <c r="S9" s="103">
        <f t="shared" si="3"/>
        <v>100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66"/>
    </row>
    <row r="10" spans="1:40" s="30" customFormat="1" x14ac:dyDescent="0.3">
      <c r="A10" s="11"/>
      <c r="B10" s="29" t="s">
        <v>1</v>
      </c>
      <c r="C10" s="30" t="s">
        <v>7</v>
      </c>
      <c r="D10" s="57">
        <v>9</v>
      </c>
      <c r="E10" s="33">
        <v>40</v>
      </c>
      <c r="F10" s="57">
        <v>458</v>
      </c>
      <c r="G10" s="33">
        <v>10</v>
      </c>
      <c r="H10" s="2"/>
      <c r="I10" s="2" t="s">
        <v>33</v>
      </c>
      <c r="J10" s="103">
        <f>SUM(D502)</f>
        <v>27</v>
      </c>
      <c r="K10" s="103">
        <f t="shared" ref="K10:M10" si="8">SUM(E502)</f>
        <v>122</v>
      </c>
      <c r="L10" s="103">
        <f t="shared" si="8"/>
        <v>2890</v>
      </c>
      <c r="M10" s="103">
        <f t="shared" si="8"/>
        <v>173</v>
      </c>
      <c r="N10" s="2"/>
      <c r="O10" s="2" t="s">
        <v>33</v>
      </c>
      <c r="P10" s="103">
        <f t="shared" si="5"/>
        <v>27</v>
      </c>
      <c r="Q10" s="103">
        <f t="shared" si="3"/>
        <v>122</v>
      </c>
      <c r="R10" s="103">
        <f t="shared" si="3"/>
        <v>2890</v>
      </c>
      <c r="S10" s="103">
        <f t="shared" si="3"/>
        <v>173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66"/>
    </row>
    <row r="11" spans="1:40" s="30" customFormat="1" x14ac:dyDescent="0.3">
      <c r="A11" s="11"/>
      <c r="B11" s="29"/>
      <c r="C11" s="71"/>
      <c r="D11" s="69">
        <f>SUM(D5:D10)</f>
        <v>58</v>
      </c>
      <c r="E11" s="69">
        <f t="shared" ref="E11:G11" si="9">SUM(E5:E10)</f>
        <v>287</v>
      </c>
      <c r="F11" s="69">
        <f t="shared" si="9"/>
        <v>3145</v>
      </c>
      <c r="G11" s="69">
        <f t="shared" si="9"/>
        <v>94</v>
      </c>
      <c r="H11" s="2"/>
      <c r="I11" s="2" t="s">
        <v>39</v>
      </c>
      <c r="J11" s="103">
        <f>D598</f>
        <v>23</v>
      </c>
      <c r="K11" s="103">
        <f t="shared" ref="K11:M11" si="10">E598</f>
        <v>112</v>
      </c>
      <c r="L11" s="103">
        <f t="shared" si="10"/>
        <v>3321</v>
      </c>
      <c r="M11" s="103">
        <f t="shared" si="10"/>
        <v>131</v>
      </c>
      <c r="N11" s="2"/>
      <c r="O11" s="2" t="s">
        <v>39</v>
      </c>
      <c r="P11" s="103">
        <f t="shared" si="5"/>
        <v>23</v>
      </c>
      <c r="Q11" s="103">
        <f t="shared" si="3"/>
        <v>112</v>
      </c>
      <c r="R11" s="103">
        <f t="shared" si="3"/>
        <v>3321</v>
      </c>
      <c r="S11" s="103">
        <f t="shared" si="3"/>
        <v>131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66"/>
    </row>
    <row r="12" spans="1:40" s="30" customFormat="1" x14ac:dyDescent="0.3">
      <c r="A12" s="15"/>
      <c r="B12" s="56" t="s">
        <v>72</v>
      </c>
      <c r="C12" s="55"/>
      <c r="D12" s="65" t="s">
        <v>67</v>
      </c>
      <c r="E12" s="65" t="s">
        <v>68</v>
      </c>
      <c r="F12" s="65" t="s">
        <v>69</v>
      </c>
      <c r="G12" s="65" t="s">
        <v>70</v>
      </c>
      <c r="H12" s="2"/>
      <c r="I12" s="2" t="s">
        <v>45</v>
      </c>
      <c r="J12" s="103">
        <f>SUM(D695)</f>
        <v>55</v>
      </c>
      <c r="K12" s="103">
        <f t="shared" ref="K12:M12" si="11">SUM(E695)</f>
        <v>212</v>
      </c>
      <c r="L12" s="103">
        <f t="shared" si="11"/>
        <v>3469</v>
      </c>
      <c r="M12" s="103">
        <f t="shared" si="11"/>
        <v>113</v>
      </c>
      <c r="N12" s="2"/>
      <c r="O12" s="2" t="s">
        <v>45</v>
      </c>
      <c r="P12" s="103">
        <f t="shared" si="5"/>
        <v>55</v>
      </c>
      <c r="Q12" s="103">
        <f t="shared" si="3"/>
        <v>212</v>
      </c>
      <c r="R12" s="103">
        <f t="shared" si="3"/>
        <v>3469</v>
      </c>
      <c r="S12" s="103">
        <f t="shared" si="3"/>
        <v>113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66"/>
    </row>
    <row r="13" spans="1:40" s="30" customFormat="1" x14ac:dyDescent="0.3">
      <c r="A13" s="11"/>
      <c r="B13" s="29" t="s">
        <v>1</v>
      </c>
      <c r="C13" s="30" t="s">
        <v>2</v>
      </c>
      <c r="D13" s="57"/>
      <c r="E13" s="33"/>
      <c r="F13" s="57"/>
      <c r="G13" s="3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66"/>
    </row>
    <row r="14" spans="1:40" s="30" customFormat="1" x14ac:dyDescent="0.3">
      <c r="A14" s="11"/>
      <c r="B14" s="29" t="s">
        <v>1</v>
      </c>
      <c r="C14" s="30" t="s">
        <v>3</v>
      </c>
      <c r="D14" s="57"/>
      <c r="E14" s="33"/>
      <c r="F14" s="57"/>
      <c r="G14" s="3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96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66"/>
    </row>
    <row r="15" spans="1:40" s="30" customFormat="1" x14ac:dyDescent="0.3">
      <c r="A15" s="11"/>
      <c r="B15" s="29" t="s">
        <v>1</v>
      </c>
      <c r="C15" s="30" t="s">
        <v>4</v>
      </c>
      <c r="D15" s="57"/>
      <c r="E15" s="33"/>
      <c r="F15" s="57"/>
      <c r="G15" s="33"/>
      <c r="H15" s="2"/>
      <c r="I15" s="2" t="s">
        <v>85</v>
      </c>
      <c r="J15" s="2" t="str">
        <f>J4</f>
        <v>BB Sgt Krg</v>
      </c>
      <c r="K15" s="2" t="str">
        <f t="shared" ref="K15:M15" si="12">K4</f>
        <v>BB Krg</v>
      </c>
      <c r="L15" s="2" t="str">
        <f t="shared" si="12"/>
        <v>BB Normal</v>
      </c>
      <c r="M15" s="2" t="str">
        <f t="shared" si="12"/>
        <v>BB Lebih</v>
      </c>
      <c r="N15" s="2"/>
      <c r="O15" s="97" t="s">
        <v>96</v>
      </c>
      <c r="P15" s="97" t="str">
        <f>J15</f>
        <v>BB Sgt Krg</v>
      </c>
      <c r="Q15" s="97" t="str">
        <f>K15</f>
        <v>BB Krg</v>
      </c>
      <c r="R15" s="97" t="str">
        <f>L15</f>
        <v>BB Normal</v>
      </c>
      <c r="S15" s="97" t="str">
        <f>M15</f>
        <v>BB Lebih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66"/>
    </row>
    <row r="16" spans="1:40" s="30" customFormat="1" x14ac:dyDescent="0.3">
      <c r="A16" s="11"/>
      <c r="B16" s="29" t="s">
        <v>1</v>
      </c>
      <c r="C16" s="30" t="s">
        <v>5</v>
      </c>
      <c r="D16" s="57"/>
      <c r="E16" s="33"/>
      <c r="F16" s="57"/>
      <c r="G16" s="33"/>
      <c r="H16" s="2"/>
      <c r="I16" s="2" t="s">
        <v>1</v>
      </c>
      <c r="J16" s="103">
        <f>SUM(D19)</f>
        <v>0</v>
      </c>
      <c r="K16" s="103">
        <f t="shared" ref="K16:M16" si="13">SUM(E19)</f>
        <v>0</v>
      </c>
      <c r="L16" s="103">
        <f t="shared" si="13"/>
        <v>0</v>
      </c>
      <c r="M16" s="103">
        <f t="shared" si="13"/>
        <v>0</v>
      </c>
      <c r="N16" s="2"/>
      <c r="O16" s="2" t="s">
        <v>2</v>
      </c>
      <c r="P16" s="103">
        <f>AVERAGE(D5+D13+D21+D29+D37+D45+D53+D61+D69+D77+D85+D93)</f>
        <v>2</v>
      </c>
      <c r="Q16" s="103">
        <f t="shared" ref="Q16:S21" si="14">AVERAGE(E5+E13+E21+E29+E37+E45+E53+E61+E69+E77+E85+E93)</f>
        <v>24</v>
      </c>
      <c r="R16" s="103">
        <f t="shared" si="14"/>
        <v>328</v>
      </c>
      <c r="S16" s="103">
        <f t="shared" si="14"/>
        <v>10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66"/>
    </row>
    <row r="17" spans="1:40" s="30" customFormat="1" x14ac:dyDescent="0.3">
      <c r="A17" s="11"/>
      <c r="B17" s="29" t="s">
        <v>1</v>
      </c>
      <c r="C17" s="30" t="s">
        <v>6</v>
      </c>
      <c r="D17" s="57"/>
      <c r="E17" s="33"/>
      <c r="F17" s="57"/>
      <c r="G17" s="33"/>
      <c r="H17" s="2"/>
      <c r="I17" s="2" t="s">
        <v>8</v>
      </c>
      <c r="J17" s="103">
        <f>SUM(D117)</f>
        <v>0</v>
      </c>
      <c r="K17" s="103">
        <f t="shared" ref="K17:M17" si="15">SUM(E117)</f>
        <v>0</v>
      </c>
      <c r="L17" s="103">
        <f t="shared" si="15"/>
        <v>0</v>
      </c>
      <c r="M17" s="103">
        <f t="shared" si="15"/>
        <v>0</v>
      </c>
      <c r="N17" s="2"/>
      <c r="O17" s="2" t="s">
        <v>3</v>
      </c>
      <c r="P17" s="103">
        <f t="shared" ref="P17:P21" si="16">AVERAGE(D6+D14+D22+D30+D38+D46+D54+D62+D70+D78+D86+D94)</f>
        <v>6</v>
      </c>
      <c r="Q17" s="103">
        <f t="shared" si="14"/>
        <v>47</v>
      </c>
      <c r="R17" s="103">
        <f t="shared" si="14"/>
        <v>549</v>
      </c>
      <c r="S17" s="103">
        <f t="shared" si="14"/>
        <v>22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66"/>
    </row>
    <row r="18" spans="1:40" s="30" customFormat="1" x14ac:dyDescent="0.3">
      <c r="A18" s="11"/>
      <c r="B18" s="29" t="s">
        <v>1</v>
      </c>
      <c r="C18" s="30" t="s">
        <v>7</v>
      </c>
      <c r="D18" s="57"/>
      <c r="E18" s="33"/>
      <c r="F18" s="57"/>
      <c r="G18" s="33"/>
      <c r="H18" s="2"/>
      <c r="I18" s="2" t="s">
        <v>16</v>
      </c>
      <c r="J18" s="103">
        <f>SUM(D221)</f>
        <v>0</v>
      </c>
      <c r="K18" s="103">
        <f t="shared" ref="K18:M18" si="17">SUM(E221)</f>
        <v>0</v>
      </c>
      <c r="L18" s="103">
        <f t="shared" si="17"/>
        <v>0</v>
      </c>
      <c r="M18" s="103">
        <f t="shared" si="17"/>
        <v>0</v>
      </c>
      <c r="N18" s="2"/>
      <c r="O18" s="2" t="s">
        <v>4</v>
      </c>
      <c r="P18" s="103">
        <f t="shared" si="16"/>
        <v>8</v>
      </c>
      <c r="Q18" s="103">
        <f t="shared" si="14"/>
        <v>21</v>
      </c>
      <c r="R18" s="103">
        <f t="shared" si="14"/>
        <v>551</v>
      </c>
      <c r="S18" s="103">
        <f t="shared" si="14"/>
        <v>7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66"/>
    </row>
    <row r="19" spans="1:40" s="30" customFormat="1" x14ac:dyDescent="0.3">
      <c r="A19" s="11"/>
      <c r="B19" s="29"/>
      <c r="C19" s="71"/>
      <c r="D19" s="69">
        <f>SUM(D13:D18)</f>
        <v>0</v>
      </c>
      <c r="E19" s="69">
        <f t="shared" ref="E19:G19" si="18">SUM(E13:E18)</f>
        <v>0</v>
      </c>
      <c r="F19" s="69">
        <f t="shared" si="18"/>
        <v>0</v>
      </c>
      <c r="G19" s="69">
        <f t="shared" si="18"/>
        <v>0</v>
      </c>
      <c r="H19" s="2"/>
      <c r="I19" s="2" t="s">
        <v>21</v>
      </c>
      <c r="J19" s="103">
        <f>SUM(D319)</f>
        <v>0</v>
      </c>
      <c r="K19" s="103">
        <f t="shared" ref="K19:M19" si="19">SUM(E319)</f>
        <v>0</v>
      </c>
      <c r="L19" s="103">
        <f t="shared" si="19"/>
        <v>0</v>
      </c>
      <c r="M19" s="103">
        <f t="shared" si="19"/>
        <v>0</v>
      </c>
      <c r="N19" s="2"/>
      <c r="O19" s="2" t="s">
        <v>5</v>
      </c>
      <c r="P19" s="103">
        <f t="shared" si="16"/>
        <v>16</v>
      </c>
      <c r="Q19" s="103">
        <f t="shared" si="14"/>
        <v>85</v>
      </c>
      <c r="R19" s="103">
        <f t="shared" si="14"/>
        <v>706</v>
      </c>
      <c r="S19" s="103">
        <f t="shared" si="14"/>
        <v>33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66"/>
    </row>
    <row r="20" spans="1:40" s="30" customFormat="1" x14ac:dyDescent="0.3">
      <c r="A20" s="15"/>
      <c r="B20" s="56" t="s">
        <v>73</v>
      </c>
      <c r="C20" s="55"/>
      <c r="D20" s="65" t="s">
        <v>67</v>
      </c>
      <c r="E20" s="65" t="s">
        <v>68</v>
      </c>
      <c r="F20" s="65" t="s">
        <v>69</v>
      </c>
      <c r="G20" s="65" t="s">
        <v>70</v>
      </c>
      <c r="H20" s="2"/>
      <c r="I20" s="2" t="s">
        <v>28</v>
      </c>
      <c r="J20" s="103">
        <f>SUM(D413)</f>
        <v>0</v>
      </c>
      <c r="K20" s="103">
        <f t="shared" ref="K20:M20" si="20">SUM(E413)</f>
        <v>0</v>
      </c>
      <c r="L20" s="103">
        <v>0</v>
      </c>
      <c r="M20" s="103">
        <f t="shared" si="20"/>
        <v>0</v>
      </c>
      <c r="N20" s="2"/>
      <c r="O20" s="2" t="s">
        <v>6</v>
      </c>
      <c r="P20" s="103">
        <f t="shared" si="16"/>
        <v>17</v>
      </c>
      <c r="Q20" s="103">
        <f t="shared" si="14"/>
        <v>70</v>
      </c>
      <c r="R20" s="103">
        <f t="shared" si="14"/>
        <v>553</v>
      </c>
      <c r="S20" s="103">
        <f t="shared" si="14"/>
        <v>12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66"/>
    </row>
    <row r="21" spans="1:40" s="30" customFormat="1" x14ac:dyDescent="0.3">
      <c r="A21" s="11"/>
      <c r="B21" s="29" t="s">
        <v>1</v>
      </c>
      <c r="C21" s="30" t="s">
        <v>2</v>
      </c>
      <c r="D21" s="57"/>
      <c r="E21" s="33"/>
      <c r="F21" s="57"/>
      <c r="G21" s="33"/>
      <c r="H21" s="2"/>
      <c r="I21" s="2" t="s">
        <v>33</v>
      </c>
      <c r="J21" s="103">
        <f>SUM(D510)</f>
        <v>0</v>
      </c>
      <c r="K21" s="103">
        <f t="shared" ref="K21:M21" si="21">SUM(E510)</f>
        <v>0</v>
      </c>
      <c r="L21" s="103">
        <f t="shared" si="21"/>
        <v>0</v>
      </c>
      <c r="M21" s="103">
        <f t="shared" si="21"/>
        <v>0</v>
      </c>
      <c r="N21" s="2"/>
      <c r="O21" s="2" t="s">
        <v>7</v>
      </c>
      <c r="P21" s="103">
        <f t="shared" si="16"/>
        <v>9</v>
      </c>
      <c r="Q21" s="103">
        <f t="shared" si="14"/>
        <v>40</v>
      </c>
      <c r="R21" s="103">
        <f t="shared" si="14"/>
        <v>458</v>
      </c>
      <c r="S21" s="103">
        <f t="shared" si="14"/>
        <v>10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66"/>
    </row>
    <row r="22" spans="1:40" s="30" customFormat="1" x14ac:dyDescent="0.3">
      <c r="A22" s="11"/>
      <c r="B22" s="29" t="s">
        <v>1</v>
      </c>
      <c r="C22" s="30" t="s">
        <v>3</v>
      </c>
      <c r="D22" s="57"/>
      <c r="E22" s="33"/>
      <c r="F22" s="57"/>
      <c r="G22" s="33"/>
      <c r="H22" s="2"/>
      <c r="I22" s="2" t="s">
        <v>39</v>
      </c>
      <c r="J22" s="103">
        <f>SUM(D606)</f>
        <v>0</v>
      </c>
      <c r="K22" s="103">
        <f t="shared" ref="K22:M22" si="22">SUM(E606)</f>
        <v>0</v>
      </c>
      <c r="L22" s="103">
        <f t="shared" si="22"/>
        <v>0</v>
      </c>
      <c r="M22" s="103">
        <f t="shared" si="22"/>
        <v>0</v>
      </c>
      <c r="N22" s="2"/>
      <c r="O22" s="2" t="s">
        <v>14</v>
      </c>
      <c r="P22" s="103">
        <f>AVERAGE(D101+D110+D119+D128+D137+D146+D155+D164+D173+D182+D191+D200)</f>
        <v>7</v>
      </c>
      <c r="Q22" s="103">
        <f t="shared" ref="Q22:S28" si="23">AVERAGE(E101+E110+E119+E128+E137+E146+E155+E164+E173+E182+E191+E200)</f>
        <v>31</v>
      </c>
      <c r="R22" s="103">
        <f t="shared" si="23"/>
        <v>596</v>
      </c>
      <c r="S22" s="103">
        <f t="shared" si="23"/>
        <v>29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66"/>
    </row>
    <row r="23" spans="1:40" s="30" customFormat="1" x14ac:dyDescent="0.3">
      <c r="A23" s="11"/>
      <c r="B23" s="29" t="s">
        <v>1</v>
      </c>
      <c r="C23" s="30" t="s">
        <v>4</v>
      </c>
      <c r="D23" s="57"/>
      <c r="E23" s="33"/>
      <c r="F23" s="57"/>
      <c r="G23" s="33"/>
      <c r="H23" s="2"/>
      <c r="I23" s="2" t="s">
        <v>45</v>
      </c>
      <c r="J23" s="103">
        <f>SUM(D703)</f>
        <v>0</v>
      </c>
      <c r="K23" s="103">
        <f t="shared" ref="K23:M23" si="24">SUM(E703)</f>
        <v>0</v>
      </c>
      <c r="L23" s="103">
        <f t="shared" si="24"/>
        <v>0</v>
      </c>
      <c r="M23" s="103">
        <f t="shared" si="24"/>
        <v>0</v>
      </c>
      <c r="N23" s="2"/>
      <c r="O23" s="2" t="s">
        <v>15</v>
      </c>
      <c r="P23" s="103">
        <f t="shared" ref="P23:P28" si="25">AVERAGE(D102+D111+D120+D129+D138+D147+D156+D165+D174+D183+D192+D201)</f>
        <v>10</v>
      </c>
      <c r="Q23" s="103">
        <f t="shared" si="23"/>
        <v>69</v>
      </c>
      <c r="R23" s="103">
        <f t="shared" si="23"/>
        <v>660</v>
      </c>
      <c r="S23" s="103">
        <f t="shared" si="23"/>
        <v>45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66"/>
    </row>
    <row r="24" spans="1:40" s="30" customFormat="1" x14ac:dyDescent="0.3">
      <c r="A24" s="11"/>
      <c r="B24" s="29" t="s">
        <v>1</v>
      </c>
      <c r="C24" s="30" t="s">
        <v>5</v>
      </c>
      <c r="D24" s="57"/>
      <c r="E24" s="33"/>
      <c r="F24" s="57"/>
      <c r="G24" s="33"/>
      <c r="H24" s="2"/>
      <c r="I24" s="2"/>
      <c r="J24" s="2"/>
      <c r="K24" s="2"/>
      <c r="L24" s="2"/>
      <c r="M24" s="2"/>
      <c r="N24" s="2"/>
      <c r="O24" s="2" t="s">
        <v>12</v>
      </c>
      <c r="P24" s="103">
        <f t="shared" si="25"/>
        <v>4</v>
      </c>
      <c r="Q24" s="103">
        <f t="shared" si="23"/>
        <v>19</v>
      </c>
      <c r="R24" s="103">
        <f t="shared" si="23"/>
        <v>672</v>
      </c>
      <c r="S24" s="103">
        <f t="shared" si="23"/>
        <v>56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66"/>
    </row>
    <row r="25" spans="1:40" s="30" customFormat="1" x14ac:dyDescent="0.3">
      <c r="A25" s="11"/>
      <c r="B25" s="29" t="s">
        <v>1</v>
      </c>
      <c r="C25" s="30" t="s">
        <v>6</v>
      </c>
      <c r="D25" s="57"/>
      <c r="E25" s="33"/>
      <c r="F25" s="57"/>
      <c r="G25" s="33"/>
      <c r="H25" s="2"/>
      <c r="I25" s="2"/>
      <c r="J25" s="2"/>
      <c r="K25" s="2"/>
      <c r="L25" s="2"/>
      <c r="M25" s="2"/>
      <c r="N25" s="2"/>
      <c r="O25" s="2" t="s">
        <v>10</v>
      </c>
      <c r="P25" s="103">
        <f t="shared" si="25"/>
        <v>5</v>
      </c>
      <c r="Q25" s="103">
        <f t="shared" si="23"/>
        <v>22</v>
      </c>
      <c r="R25" s="103">
        <f t="shared" si="23"/>
        <v>847</v>
      </c>
      <c r="S25" s="103">
        <f t="shared" si="23"/>
        <v>20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66"/>
    </row>
    <row r="26" spans="1:40" s="30" customFormat="1" x14ac:dyDescent="0.3">
      <c r="A26" s="11"/>
      <c r="B26" s="29" t="s">
        <v>1</v>
      </c>
      <c r="C26" s="30" t="s">
        <v>7</v>
      </c>
      <c r="D26" s="57"/>
      <c r="E26" s="33"/>
      <c r="F26" s="57"/>
      <c r="G26" s="33"/>
      <c r="H26" s="2"/>
      <c r="I26" s="2" t="s">
        <v>94</v>
      </c>
      <c r="J26" s="2" t="str">
        <f>J15</f>
        <v>BB Sgt Krg</v>
      </c>
      <c r="K26" s="2" t="str">
        <f t="shared" ref="K26:M26" si="26">K15</f>
        <v>BB Krg</v>
      </c>
      <c r="L26" s="2" t="str">
        <f t="shared" si="26"/>
        <v>BB Normal</v>
      </c>
      <c r="M26" s="2" t="str">
        <f t="shared" si="26"/>
        <v>BB Lebih</v>
      </c>
      <c r="N26" s="2"/>
      <c r="O26" s="2" t="s">
        <v>57</v>
      </c>
      <c r="P26" s="103">
        <f t="shared" si="25"/>
        <v>2</v>
      </c>
      <c r="Q26" s="103">
        <f t="shared" si="23"/>
        <v>21</v>
      </c>
      <c r="R26" s="103">
        <f t="shared" si="23"/>
        <v>701</v>
      </c>
      <c r="S26" s="103">
        <f t="shared" si="23"/>
        <v>23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66"/>
    </row>
    <row r="27" spans="1:40" s="30" customFormat="1" x14ac:dyDescent="0.3">
      <c r="A27" s="11"/>
      <c r="B27" s="29"/>
      <c r="C27" s="71"/>
      <c r="D27" s="69">
        <f>SUM(D21:D26)</f>
        <v>0</v>
      </c>
      <c r="E27" s="69">
        <f t="shared" ref="E27:G27" si="27">SUM(E21:E26)</f>
        <v>0</v>
      </c>
      <c r="F27" s="69">
        <f t="shared" si="27"/>
        <v>0</v>
      </c>
      <c r="G27" s="69">
        <f t="shared" si="27"/>
        <v>0</v>
      </c>
      <c r="H27" s="2"/>
      <c r="I27" s="2" t="s">
        <v>1</v>
      </c>
      <c r="J27" s="103">
        <f>SUM(D27)</f>
        <v>0</v>
      </c>
      <c r="K27" s="103">
        <f t="shared" ref="K27:M27" si="28">SUM(E27)</f>
        <v>0</v>
      </c>
      <c r="L27" s="103">
        <f t="shared" si="28"/>
        <v>0</v>
      </c>
      <c r="M27" s="103">
        <f t="shared" si="28"/>
        <v>0</v>
      </c>
      <c r="N27" s="2"/>
      <c r="O27" s="2" t="s">
        <v>11</v>
      </c>
      <c r="P27" s="103">
        <f t="shared" si="25"/>
        <v>6</v>
      </c>
      <c r="Q27" s="103">
        <f t="shared" si="23"/>
        <v>24</v>
      </c>
      <c r="R27" s="103">
        <f t="shared" si="23"/>
        <v>506</v>
      </c>
      <c r="S27" s="103">
        <f t="shared" si="23"/>
        <v>45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66"/>
    </row>
    <row r="28" spans="1:40" s="30" customFormat="1" x14ac:dyDescent="0.3">
      <c r="A28" s="15"/>
      <c r="B28" s="56" t="s">
        <v>81</v>
      </c>
      <c r="C28" s="55"/>
      <c r="D28" s="65" t="s">
        <v>67</v>
      </c>
      <c r="E28" s="65" t="s">
        <v>68</v>
      </c>
      <c r="F28" s="65" t="s">
        <v>69</v>
      </c>
      <c r="G28" s="65" t="s">
        <v>70</v>
      </c>
      <c r="H28" s="2"/>
      <c r="I28" s="2" t="s">
        <v>8</v>
      </c>
      <c r="J28" s="103">
        <f>SUM(D126)</f>
        <v>0</v>
      </c>
      <c r="K28" s="103">
        <f t="shared" ref="K28:M28" si="29">SUM(E126)</f>
        <v>0</v>
      </c>
      <c r="L28" s="103">
        <f t="shared" si="29"/>
        <v>0</v>
      </c>
      <c r="M28" s="103">
        <f t="shared" si="29"/>
        <v>0</v>
      </c>
      <c r="N28" s="2"/>
      <c r="O28" s="2" t="s">
        <v>9</v>
      </c>
      <c r="P28" s="103">
        <f t="shared" si="25"/>
        <v>4</v>
      </c>
      <c r="Q28" s="103">
        <f t="shared" si="23"/>
        <v>17</v>
      </c>
      <c r="R28" s="103">
        <f t="shared" si="23"/>
        <v>271</v>
      </c>
      <c r="S28" s="103">
        <f t="shared" si="23"/>
        <v>16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66"/>
    </row>
    <row r="29" spans="1:40" s="30" customFormat="1" x14ac:dyDescent="0.3">
      <c r="A29" s="11"/>
      <c r="B29" s="29" t="s">
        <v>1</v>
      </c>
      <c r="C29" s="30" t="s">
        <v>2</v>
      </c>
      <c r="D29" s="57"/>
      <c r="E29" s="33"/>
      <c r="F29" s="57"/>
      <c r="G29" s="33"/>
      <c r="H29" s="2"/>
      <c r="I29" s="2" t="s">
        <v>16</v>
      </c>
      <c r="J29" s="103">
        <f>SUM(D229)</f>
        <v>0</v>
      </c>
      <c r="K29" s="103">
        <f t="shared" ref="K29:M29" si="30">SUM(E229)</f>
        <v>0</v>
      </c>
      <c r="L29" s="103">
        <f t="shared" si="30"/>
        <v>0</v>
      </c>
      <c r="M29" s="103">
        <f t="shared" si="30"/>
        <v>0</v>
      </c>
      <c r="N29" s="2"/>
      <c r="O29" s="2" t="s">
        <v>17</v>
      </c>
      <c r="P29" s="103">
        <f>AVERAGE(D209+D217+D225+D233+D241+D249+D257+D265+D273+D281+D289+D297)</f>
        <v>14</v>
      </c>
      <c r="Q29" s="103">
        <f t="shared" ref="Q29:S29" si="31">AVERAGE(E209+E217+E225+E233+E241+E249+E257+E265+E273+E281+E289+E297)</f>
        <v>63</v>
      </c>
      <c r="R29" s="103">
        <f t="shared" si="31"/>
        <v>677</v>
      </c>
      <c r="S29" s="103">
        <f t="shared" si="31"/>
        <v>37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66"/>
    </row>
    <row r="30" spans="1:40" s="30" customFormat="1" x14ac:dyDescent="0.3">
      <c r="A30" s="11"/>
      <c r="B30" s="29" t="s">
        <v>1</v>
      </c>
      <c r="C30" s="30" t="s">
        <v>3</v>
      </c>
      <c r="D30" s="57"/>
      <c r="E30" s="33"/>
      <c r="F30" s="57"/>
      <c r="G30" s="33"/>
      <c r="H30" s="2"/>
      <c r="I30" s="2" t="s">
        <v>21</v>
      </c>
      <c r="J30" s="103">
        <f>SUM(D327)</f>
        <v>0</v>
      </c>
      <c r="K30" s="103">
        <f t="shared" ref="K30:M30" si="32">SUM(E327)</f>
        <v>0</v>
      </c>
      <c r="L30" s="103">
        <f t="shared" si="32"/>
        <v>0</v>
      </c>
      <c r="M30" s="103">
        <f t="shared" si="32"/>
        <v>0</v>
      </c>
      <c r="N30" s="2"/>
      <c r="O30" s="2" t="s">
        <v>18</v>
      </c>
      <c r="P30" s="103">
        <f t="shared" ref="P30:P32" si="33">AVERAGE(D210+D218+D226+D234+D242+D250+D258+D266+D274+D282+D290+D298)</f>
        <v>16</v>
      </c>
      <c r="Q30" s="103">
        <f t="shared" ref="Q30:Q32" si="34">AVERAGE(E210+E218+E226+E234+E242+E250+E258+E266+E274+E282+E290+E298)</f>
        <v>57</v>
      </c>
      <c r="R30" s="103">
        <f t="shared" ref="R30:R32" si="35">AVERAGE(F210+F218+F226+F234+F242+F250+F258+F266+F274+F282+F290+F298)</f>
        <v>668</v>
      </c>
      <c r="S30" s="103">
        <f t="shared" ref="S30:S32" si="36">AVERAGE(G210+G218+G226+G234+G242+G250+G258+G266+G274+G282+G290+G298)</f>
        <v>29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66"/>
    </row>
    <row r="31" spans="1:40" s="30" customFormat="1" x14ac:dyDescent="0.3">
      <c r="A31" s="11"/>
      <c r="B31" s="29" t="s">
        <v>1</v>
      </c>
      <c r="C31" s="30" t="s">
        <v>4</v>
      </c>
      <c r="D31" s="57"/>
      <c r="E31" s="33"/>
      <c r="F31" s="57"/>
      <c r="G31" s="33"/>
      <c r="H31" s="2"/>
      <c r="I31" s="2" t="s">
        <v>28</v>
      </c>
      <c r="J31" s="103">
        <f>SUM(D421)</f>
        <v>0</v>
      </c>
      <c r="K31" s="103">
        <f t="shared" ref="K31:M31" si="37">SUM(E421)</f>
        <v>0</v>
      </c>
      <c r="L31" s="103">
        <f t="shared" si="37"/>
        <v>0</v>
      </c>
      <c r="M31" s="103">
        <f t="shared" si="37"/>
        <v>0</v>
      </c>
      <c r="N31" s="2"/>
      <c r="O31" s="2" t="s">
        <v>19</v>
      </c>
      <c r="P31" s="103">
        <f t="shared" si="33"/>
        <v>1</v>
      </c>
      <c r="Q31" s="103">
        <f t="shared" si="34"/>
        <v>44</v>
      </c>
      <c r="R31" s="103">
        <f t="shared" si="35"/>
        <v>711</v>
      </c>
      <c r="S31" s="103">
        <f t="shared" si="36"/>
        <v>15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66"/>
    </row>
    <row r="32" spans="1:40" s="30" customFormat="1" x14ac:dyDescent="0.3">
      <c r="A32" s="11"/>
      <c r="B32" s="29" t="s">
        <v>1</v>
      </c>
      <c r="C32" s="30" t="s">
        <v>5</v>
      </c>
      <c r="D32" s="57"/>
      <c r="E32" s="33"/>
      <c r="F32" s="57"/>
      <c r="G32" s="33"/>
      <c r="H32" s="2"/>
      <c r="I32" s="2" t="s">
        <v>33</v>
      </c>
      <c r="J32" s="103">
        <f>SUM(D518)</f>
        <v>0</v>
      </c>
      <c r="K32" s="103">
        <f t="shared" ref="K32:M32" si="38">SUM(E518)</f>
        <v>0</v>
      </c>
      <c r="L32" s="103">
        <f t="shared" si="38"/>
        <v>0</v>
      </c>
      <c r="M32" s="103">
        <f t="shared" si="38"/>
        <v>0</v>
      </c>
      <c r="N32" s="2"/>
      <c r="O32" s="2" t="s">
        <v>20</v>
      </c>
      <c r="P32" s="103">
        <f t="shared" si="33"/>
        <v>4</v>
      </c>
      <c r="Q32" s="103">
        <f t="shared" si="34"/>
        <v>34</v>
      </c>
      <c r="R32" s="103">
        <f t="shared" si="35"/>
        <v>388</v>
      </c>
      <c r="S32" s="103">
        <f t="shared" si="36"/>
        <v>69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66"/>
    </row>
    <row r="33" spans="1:40" s="30" customFormat="1" x14ac:dyDescent="0.3">
      <c r="A33" s="11"/>
      <c r="B33" s="29" t="s">
        <v>1</v>
      </c>
      <c r="C33" s="30" t="s">
        <v>6</v>
      </c>
      <c r="D33" s="57"/>
      <c r="E33" s="33"/>
      <c r="F33" s="57"/>
      <c r="G33" s="33"/>
      <c r="H33" s="2"/>
      <c r="I33" s="2" t="s">
        <v>39</v>
      </c>
      <c r="J33" s="103">
        <f>SUM(D614)</f>
        <v>0</v>
      </c>
      <c r="K33" s="103">
        <f t="shared" ref="K33:M33" si="39">SUM(E614)</f>
        <v>0</v>
      </c>
      <c r="L33" s="103">
        <f t="shared" si="39"/>
        <v>0</v>
      </c>
      <c r="M33" s="103">
        <f t="shared" si="39"/>
        <v>0</v>
      </c>
      <c r="N33" s="2"/>
      <c r="O33" s="2" t="s">
        <v>22</v>
      </c>
      <c r="P33" s="103">
        <f>AVERAGE(D305+D313+D321+D329+D337+D345+D353+D361+D369+D377+D385+D393)</f>
        <v>1</v>
      </c>
      <c r="Q33" s="103">
        <f t="shared" ref="Q33:S33" si="40">AVERAGE(E305+E313+E321+E329+E337+E345+E353+E361+E369+E377+E385+E393)</f>
        <v>9</v>
      </c>
      <c r="R33" s="103">
        <f t="shared" si="40"/>
        <v>121</v>
      </c>
      <c r="S33" s="103">
        <f t="shared" si="40"/>
        <v>14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66"/>
    </row>
    <row r="34" spans="1:40" s="30" customFormat="1" x14ac:dyDescent="0.3">
      <c r="A34" s="11"/>
      <c r="B34" s="29" t="s">
        <v>1</v>
      </c>
      <c r="C34" s="30" t="s">
        <v>7</v>
      </c>
      <c r="D34" s="57"/>
      <c r="E34" s="33"/>
      <c r="F34" s="57"/>
      <c r="G34" s="33"/>
      <c r="H34" s="2"/>
      <c r="I34" s="2" t="s">
        <v>45</v>
      </c>
      <c r="J34" s="103">
        <f>SUM(D711)</f>
        <v>0</v>
      </c>
      <c r="K34" s="103">
        <f t="shared" ref="K34:M34" si="41">SUM(E711)</f>
        <v>0</v>
      </c>
      <c r="L34" s="103">
        <f t="shared" si="41"/>
        <v>0</v>
      </c>
      <c r="M34" s="103">
        <f t="shared" si="41"/>
        <v>0</v>
      </c>
      <c r="N34" s="2"/>
      <c r="O34" s="2" t="s">
        <v>23</v>
      </c>
      <c r="P34" s="103">
        <f t="shared" ref="P34:P37" si="42">AVERAGE(D306+D314+D322+D330+D338+D346+D354+D362+D370+D378+D386+D394)</f>
        <v>9</v>
      </c>
      <c r="Q34" s="103">
        <f t="shared" ref="Q34:Q38" si="43">AVERAGE(E306+E314+E322+E330+E338+E346+E354+E362+E370+E378+E386+E394)</f>
        <v>26</v>
      </c>
      <c r="R34" s="103">
        <f t="shared" ref="R34:R38" si="44">AVERAGE(F306+F314+F322+F330+F338+F346+F354+F362+F370+F378+F386+F394)</f>
        <v>170</v>
      </c>
      <c r="S34" s="103">
        <f t="shared" ref="S34:S38" si="45">AVERAGE(G306+G314+G322+G330+G338+G346+G354+G362+G370+G378+G386+G394)</f>
        <v>9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66"/>
    </row>
    <row r="35" spans="1:40" s="30" customFormat="1" x14ac:dyDescent="0.3">
      <c r="A35" s="11"/>
      <c r="B35" s="29"/>
      <c r="C35" s="71"/>
      <c r="D35" s="69">
        <f>SUM(D29:D34)</f>
        <v>0</v>
      </c>
      <c r="E35" s="69">
        <f t="shared" ref="E35:G35" si="46">SUM(E29:E34)</f>
        <v>0</v>
      </c>
      <c r="F35" s="69">
        <f t="shared" si="46"/>
        <v>0</v>
      </c>
      <c r="G35" s="69">
        <f t="shared" si="46"/>
        <v>0</v>
      </c>
      <c r="H35" s="2"/>
      <c r="I35" s="2"/>
      <c r="J35" s="2"/>
      <c r="K35" s="2"/>
      <c r="L35" s="2"/>
      <c r="M35" s="2"/>
      <c r="N35" s="2"/>
      <c r="O35" s="2" t="s">
        <v>24</v>
      </c>
      <c r="P35" s="103">
        <f t="shared" si="42"/>
        <v>8</v>
      </c>
      <c r="Q35" s="103">
        <f t="shared" si="43"/>
        <v>9</v>
      </c>
      <c r="R35" s="103">
        <f t="shared" si="44"/>
        <v>178</v>
      </c>
      <c r="S35" s="103">
        <f t="shared" si="45"/>
        <v>8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66"/>
    </row>
    <row r="36" spans="1:40" s="30" customFormat="1" x14ac:dyDescent="0.3">
      <c r="A36" s="15"/>
      <c r="B36" s="56" t="s">
        <v>82</v>
      </c>
      <c r="C36" s="55"/>
      <c r="D36" s="65" t="s">
        <v>67</v>
      </c>
      <c r="E36" s="65" t="s">
        <v>68</v>
      </c>
      <c r="F36" s="65" t="s">
        <v>69</v>
      </c>
      <c r="G36" s="65" t="s">
        <v>70</v>
      </c>
      <c r="H36" s="2"/>
      <c r="I36" s="2"/>
      <c r="J36" s="2"/>
      <c r="K36" s="2"/>
      <c r="L36" s="2"/>
      <c r="M36" s="2"/>
      <c r="N36" s="2"/>
      <c r="O36" s="2" t="s">
        <v>25</v>
      </c>
      <c r="P36" s="103">
        <f t="shared" si="42"/>
        <v>2</v>
      </c>
      <c r="Q36" s="103">
        <f t="shared" si="43"/>
        <v>17</v>
      </c>
      <c r="R36" s="103">
        <f t="shared" si="44"/>
        <v>285</v>
      </c>
      <c r="S36" s="103">
        <f t="shared" si="45"/>
        <v>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66"/>
    </row>
    <row r="37" spans="1:40" s="30" customFormat="1" x14ac:dyDescent="0.3">
      <c r="A37" s="11"/>
      <c r="B37" s="29" t="s">
        <v>1</v>
      </c>
      <c r="C37" s="30" t="s">
        <v>2</v>
      </c>
      <c r="D37" s="57"/>
      <c r="E37" s="33"/>
      <c r="F37" s="57"/>
      <c r="G37" s="33"/>
      <c r="H37" s="2"/>
      <c r="I37" s="2" t="s">
        <v>93</v>
      </c>
      <c r="J37" s="2" t="str">
        <f>J26</f>
        <v>BB Sgt Krg</v>
      </c>
      <c r="K37" s="2" t="str">
        <f t="shared" ref="K37:M37" si="47">K26</f>
        <v>BB Krg</v>
      </c>
      <c r="L37" s="2" t="str">
        <f t="shared" si="47"/>
        <v>BB Normal</v>
      </c>
      <c r="M37" s="2" t="str">
        <f t="shared" si="47"/>
        <v>BB Lebih</v>
      </c>
      <c r="N37" s="2"/>
      <c r="O37" s="2" t="s">
        <v>26</v>
      </c>
      <c r="P37" s="103">
        <f t="shared" si="42"/>
        <v>7</v>
      </c>
      <c r="Q37" s="103">
        <f t="shared" si="43"/>
        <v>30</v>
      </c>
      <c r="R37" s="103">
        <f t="shared" si="44"/>
        <v>544</v>
      </c>
      <c r="S37" s="103">
        <f t="shared" si="45"/>
        <v>47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66"/>
    </row>
    <row r="38" spans="1:40" s="30" customFormat="1" x14ac:dyDescent="0.3">
      <c r="A38" s="11"/>
      <c r="B38" s="29" t="s">
        <v>1</v>
      </c>
      <c r="C38" s="30" t="s">
        <v>3</v>
      </c>
      <c r="D38" s="57"/>
      <c r="E38" s="33"/>
      <c r="F38" s="57"/>
      <c r="G38" s="33"/>
      <c r="H38" s="2"/>
      <c r="I38" s="2" t="s">
        <v>1</v>
      </c>
      <c r="J38" s="103">
        <f>SUM(D35)</f>
        <v>0</v>
      </c>
      <c r="K38" s="103">
        <f t="shared" ref="K38:M38" si="48">SUM(E35)</f>
        <v>0</v>
      </c>
      <c r="L38" s="103">
        <f t="shared" si="48"/>
        <v>0</v>
      </c>
      <c r="M38" s="103">
        <f t="shared" si="48"/>
        <v>0</v>
      </c>
      <c r="N38" s="2"/>
      <c r="O38" s="2" t="s">
        <v>27</v>
      </c>
      <c r="P38" s="103">
        <f>AVERAGE(D310+D318+D326+D334+D342+D350+D358+D366+D374+D382+D390+D398)</f>
        <v>2</v>
      </c>
      <c r="Q38" s="103">
        <f t="shared" si="43"/>
        <v>3</v>
      </c>
      <c r="R38" s="103">
        <f t="shared" si="44"/>
        <v>44</v>
      </c>
      <c r="S38" s="103">
        <f t="shared" si="45"/>
        <v>4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66"/>
    </row>
    <row r="39" spans="1:40" s="30" customFormat="1" x14ac:dyDescent="0.3">
      <c r="A39" s="11"/>
      <c r="B39" s="29" t="s">
        <v>1</v>
      </c>
      <c r="C39" s="30" t="s">
        <v>4</v>
      </c>
      <c r="D39" s="57"/>
      <c r="E39" s="33"/>
      <c r="F39" s="57"/>
      <c r="G39" s="33"/>
      <c r="H39" s="2"/>
      <c r="I39" s="2" t="s">
        <v>8</v>
      </c>
      <c r="J39" s="103">
        <f>SUM(D135)</f>
        <v>0</v>
      </c>
      <c r="K39" s="103">
        <f t="shared" ref="K39:M39" si="49">SUM(E135)</f>
        <v>0</v>
      </c>
      <c r="L39" s="103">
        <f t="shared" si="49"/>
        <v>0</v>
      </c>
      <c r="M39" s="103">
        <f t="shared" si="49"/>
        <v>0</v>
      </c>
      <c r="N39" s="2"/>
      <c r="O39" s="2" t="s">
        <v>32</v>
      </c>
      <c r="P39" s="103">
        <f>AVERAGE(D401+D409+D417+D425+D433+D441+D449+D457+D465+D473+D481+D489)</f>
        <v>6</v>
      </c>
      <c r="Q39" s="103">
        <f t="shared" ref="Q39:S39" si="50">AVERAGE(E401+E409+E417+E425+E433+E441+E449+E457+E465+E473+E481+E489)</f>
        <v>25</v>
      </c>
      <c r="R39" s="103">
        <f t="shared" si="50"/>
        <v>390</v>
      </c>
      <c r="S39" s="103">
        <f t="shared" si="50"/>
        <v>31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66"/>
    </row>
    <row r="40" spans="1:40" s="30" customFormat="1" x14ac:dyDescent="0.3">
      <c r="A40" s="11"/>
      <c r="B40" s="29" t="s">
        <v>1</v>
      </c>
      <c r="C40" s="30" t="s">
        <v>5</v>
      </c>
      <c r="D40" s="57"/>
      <c r="E40" s="33"/>
      <c r="F40" s="57"/>
      <c r="G40" s="33"/>
      <c r="H40" s="2"/>
      <c r="I40" s="2" t="s">
        <v>16</v>
      </c>
      <c r="J40" s="103">
        <f>SUM(D237)</f>
        <v>0</v>
      </c>
      <c r="K40" s="103">
        <f t="shared" ref="K40:M40" si="51">SUM(E237)</f>
        <v>0</v>
      </c>
      <c r="L40" s="103">
        <f t="shared" si="51"/>
        <v>0</v>
      </c>
      <c r="M40" s="103">
        <f t="shared" si="51"/>
        <v>0</v>
      </c>
      <c r="N40" s="2"/>
      <c r="O40" s="2" t="s">
        <v>31</v>
      </c>
      <c r="P40" s="103">
        <f t="shared" ref="P40:P42" si="52">AVERAGE(D402+D410+D418+D426+D434+D442+D450+D458+D466+D474+D482+D490)</f>
        <v>11</v>
      </c>
      <c r="Q40" s="103">
        <f t="shared" ref="Q40:Q42" si="53">AVERAGE(E402+E410+E418+E426+E434+E442+E450+E458+E466+E474+E482+E490)</f>
        <v>46</v>
      </c>
      <c r="R40" s="103">
        <f t="shared" ref="R40:R42" si="54">AVERAGE(F402+F410+F418+F426+F434+F442+F450+F458+F466+F474+F482+F490)</f>
        <v>244</v>
      </c>
      <c r="S40" s="103">
        <f t="shared" ref="S40:S42" si="55">AVERAGE(G402+G410+G418+G426+G434+G442+G450+G458+G466+G474+G482+G490)</f>
        <v>12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66"/>
    </row>
    <row r="41" spans="1:40" s="30" customFormat="1" x14ac:dyDescent="0.3">
      <c r="A41" s="11"/>
      <c r="B41" s="29" t="s">
        <v>1</v>
      </c>
      <c r="C41" s="30" t="s">
        <v>6</v>
      </c>
      <c r="D41" s="57"/>
      <c r="E41" s="33"/>
      <c r="F41" s="57"/>
      <c r="G41" s="33"/>
      <c r="H41" s="2"/>
      <c r="I41" s="2" t="s">
        <v>21</v>
      </c>
      <c r="J41" s="103">
        <f>SUM(D335)</f>
        <v>0</v>
      </c>
      <c r="K41" s="103">
        <f t="shared" ref="K41:M41" si="56">SUM(E335)</f>
        <v>0</v>
      </c>
      <c r="L41" s="103">
        <f t="shared" si="56"/>
        <v>0</v>
      </c>
      <c r="M41" s="103">
        <f t="shared" si="56"/>
        <v>0</v>
      </c>
      <c r="N41" s="2"/>
      <c r="O41" s="2" t="s">
        <v>30</v>
      </c>
      <c r="P41" s="103">
        <f t="shared" si="52"/>
        <v>10</v>
      </c>
      <c r="Q41" s="103">
        <f t="shared" si="53"/>
        <v>30</v>
      </c>
      <c r="R41" s="103">
        <f t="shared" si="54"/>
        <v>466</v>
      </c>
      <c r="S41" s="103">
        <f t="shared" si="55"/>
        <v>26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66"/>
    </row>
    <row r="42" spans="1:40" s="30" customFormat="1" x14ac:dyDescent="0.3">
      <c r="A42" s="11"/>
      <c r="B42" s="29" t="s">
        <v>1</v>
      </c>
      <c r="C42" s="30" t="s">
        <v>7</v>
      </c>
      <c r="D42" s="57"/>
      <c r="E42" s="33"/>
      <c r="F42" s="57"/>
      <c r="G42" s="33"/>
      <c r="H42" s="2"/>
      <c r="I42" s="2" t="s">
        <v>28</v>
      </c>
      <c r="J42" s="103">
        <f>SUM(D429)</f>
        <v>0</v>
      </c>
      <c r="K42" s="103">
        <f t="shared" ref="K42:M42" si="57">SUM(E429)</f>
        <v>0</v>
      </c>
      <c r="L42" s="103">
        <f t="shared" si="57"/>
        <v>0</v>
      </c>
      <c r="M42" s="103">
        <f t="shared" si="57"/>
        <v>0</v>
      </c>
      <c r="N42" s="2"/>
      <c r="O42" s="2" t="s">
        <v>29</v>
      </c>
      <c r="P42" s="103">
        <f t="shared" si="52"/>
        <v>14</v>
      </c>
      <c r="Q42" s="103">
        <f t="shared" si="53"/>
        <v>64</v>
      </c>
      <c r="R42" s="103">
        <f t="shared" si="54"/>
        <v>729</v>
      </c>
      <c r="S42" s="103">
        <f t="shared" si="55"/>
        <v>31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66"/>
    </row>
    <row r="43" spans="1:40" s="30" customFormat="1" x14ac:dyDescent="0.3">
      <c r="A43" s="11"/>
      <c r="B43" s="29"/>
      <c r="C43" s="71"/>
      <c r="D43" s="69">
        <f>SUM(D37:D42)</f>
        <v>0</v>
      </c>
      <c r="E43" s="69">
        <f t="shared" ref="E43:G43" si="58">SUM(E37:E42)</f>
        <v>0</v>
      </c>
      <c r="F43" s="69">
        <f t="shared" si="58"/>
        <v>0</v>
      </c>
      <c r="G43" s="69">
        <f t="shared" si="58"/>
        <v>0</v>
      </c>
      <c r="H43" s="2"/>
      <c r="I43" s="2" t="s">
        <v>33</v>
      </c>
      <c r="J43" s="103">
        <f>SUM(D526)</f>
        <v>0</v>
      </c>
      <c r="K43" s="103">
        <f t="shared" ref="K43:M43" si="59">SUM(E526)</f>
        <v>0</v>
      </c>
      <c r="L43" s="103">
        <f t="shared" si="59"/>
        <v>0</v>
      </c>
      <c r="M43" s="103">
        <f t="shared" si="59"/>
        <v>0</v>
      </c>
      <c r="N43" s="2"/>
      <c r="O43" s="2" t="s">
        <v>34</v>
      </c>
      <c r="P43" s="103">
        <f>AVERAGE(D497+D505+D513+D521+D529+D537+D545+D553+D561+D569+D577+D585)</f>
        <v>1</v>
      </c>
      <c r="Q43" s="103">
        <f t="shared" ref="Q43:S43" si="60">AVERAGE(E497+E505+E513+E521+E529+E537+E545+E553+E561+E569+E577+E585)</f>
        <v>23</v>
      </c>
      <c r="R43" s="103">
        <f t="shared" si="60"/>
        <v>412</v>
      </c>
      <c r="S43" s="103">
        <f t="shared" si="60"/>
        <v>38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66"/>
    </row>
    <row r="44" spans="1:40" s="30" customFormat="1" x14ac:dyDescent="0.3">
      <c r="A44" s="15"/>
      <c r="B44" s="56" t="s">
        <v>74</v>
      </c>
      <c r="C44" s="55"/>
      <c r="D44" s="65" t="s">
        <v>67</v>
      </c>
      <c r="E44" s="65" t="s">
        <v>68</v>
      </c>
      <c r="F44" s="65" t="s">
        <v>69</v>
      </c>
      <c r="G44" s="65" t="s">
        <v>70</v>
      </c>
      <c r="H44" s="2"/>
      <c r="I44" s="2" t="s">
        <v>39</v>
      </c>
      <c r="J44" s="103">
        <f>SUM(D622)</f>
        <v>0</v>
      </c>
      <c r="K44" s="103">
        <f t="shared" ref="K44:M44" si="61">SUM(E622)</f>
        <v>0</v>
      </c>
      <c r="L44" s="103">
        <f t="shared" si="61"/>
        <v>0</v>
      </c>
      <c r="M44" s="103">
        <f t="shared" si="61"/>
        <v>0</v>
      </c>
      <c r="N44" s="2"/>
      <c r="O44" s="2" t="s">
        <v>35</v>
      </c>
      <c r="P44" s="103">
        <f t="shared" ref="P44:P47" si="62">AVERAGE(D498+D506+D514+D522+D530+D538+D546+D554+D562+D570+D578+D586)</f>
        <v>0</v>
      </c>
      <c r="Q44" s="103">
        <f t="shared" ref="Q44:Q47" si="63">AVERAGE(E498+E506+E514+E522+E530+E538+E546+E554+E562+E570+E578+E586)</f>
        <v>20</v>
      </c>
      <c r="R44" s="103">
        <f t="shared" ref="R44:R47" si="64">AVERAGE(F498+F506+F514+F522+F530+F538+F546+F554+F562+F570+F578+F586)</f>
        <v>821</v>
      </c>
      <c r="S44" s="103">
        <f t="shared" ref="S44:S47" si="65">AVERAGE(G498+G506+G514+G522+G530+G538+G546+G554+G562+G570+G578+G586)</f>
        <v>40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66"/>
    </row>
    <row r="45" spans="1:40" s="30" customFormat="1" x14ac:dyDescent="0.3">
      <c r="A45" s="11"/>
      <c r="B45" s="29" t="s">
        <v>1</v>
      </c>
      <c r="C45" s="30" t="s">
        <v>2</v>
      </c>
      <c r="D45" s="57"/>
      <c r="E45" s="33"/>
      <c r="F45" s="57"/>
      <c r="G45" s="33"/>
      <c r="H45" s="2"/>
      <c r="I45" s="2" t="s">
        <v>45</v>
      </c>
      <c r="J45" s="103">
        <f>SUM(D719)</f>
        <v>0</v>
      </c>
      <c r="K45" s="103">
        <f t="shared" ref="K45:M45" si="66">SUM(E719)</f>
        <v>0</v>
      </c>
      <c r="L45" s="103">
        <f t="shared" si="66"/>
        <v>0</v>
      </c>
      <c r="M45" s="103">
        <f t="shared" si="66"/>
        <v>0</v>
      </c>
      <c r="N45" s="2"/>
      <c r="O45" s="2" t="s">
        <v>36</v>
      </c>
      <c r="P45" s="103">
        <f t="shared" si="62"/>
        <v>11</v>
      </c>
      <c r="Q45" s="103">
        <f t="shared" si="63"/>
        <v>37</v>
      </c>
      <c r="R45" s="103">
        <f t="shared" si="64"/>
        <v>543</v>
      </c>
      <c r="S45" s="103">
        <f t="shared" si="65"/>
        <v>49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66"/>
    </row>
    <row r="46" spans="1:40" s="30" customFormat="1" x14ac:dyDescent="0.3">
      <c r="A46" s="11"/>
      <c r="B46" s="29" t="s">
        <v>1</v>
      </c>
      <c r="C46" s="30" t="s">
        <v>3</v>
      </c>
      <c r="D46" s="57"/>
      <c r="E46" s="33"/>
      <c r="F46" s="57"/>
      <c r="G46" s="33"/>
      <c r="H46" s="2"/>
      <c r="I46" s="2"/>
      <c r="J46" s="2"/>
      <c r="K46" s="2"/>
      <c r="L46" s="2"/>
      <c r="M46" s="2"/>
      <c r="N46" s="2"/>
      <c r="O46" s="2" t="s">
        <v>37</v>
      </c>
      <c r="P46" s="103">
        <f t="shared" si="62"/>
        <v>5</v>
      </c>
      <c r="Q46" s="103">
        <f t="shared" si="63"/>
        <v>19</v>
      </c>
      <c r="R46" s="103">
        <f t="shared" si="64"/>
        <v>441</v>
      </c>
      <c r="S46" s="103">
        <f t="shared" si="65"/>
        <v>19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66"/>
    </row>
    <row r="47" spans="1:40" s="30" customFormat="1" x14ac:dyDescent="0.3">
      <c r="A47" s="11"/>
      <c r="B47" s="29" t="s">
        <v>1</v>
      </c>
      <c r="C47" s="30" t="s">
        <v>4</v>
      </c>
      <c r="D47" s="57"/>
      <c r="E47" s="33"/>
      <c r="F47" s="57"/>
      <c r="G47" s="33"/>
      <c r="H47" s="2"/>
      <c r="I47" s="2"/>
      <c r="J47" s="2"/>
      <c r="K47" s="2"/>
      <c r="L47" s="2"/>
      <c r="M47" s="2"/>
      <c r="N47" s="2"/>
      <c r="O47" s="2" t="s">
        <v>38</v>
      </c>
      <c r="P47" s="103">
        <f t="shared" si="62"/>
        <v>10</v>
      </c>
      <c r="Q47" s="103">
        <f t="shared" si="63"/>
        <v>23</v>
      </c>
      <c r="R47" s="103">
        <f t="shared" si="64"/>
        <v>673</v>
      </c>
      <c r="S47" s="103">
        <f t="shared" si="65"/>
        <v>27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66"/>
    </row>
    <row r="48" spans="1:40" s="30" customFormat="1" x14ac:dyDescent="0.3">
      <c r="A48" s="11"/>
      <c r="B48" s="29" t="s">
        <v>1</v>
      </c>
      <c r="C48" s="30" t="s">
        <v>5</v>
      </c>
      <c r="D48" s="57"/>
      <c r="E48" s="33"/>
      <c r="F48" s="57"/>
      <c r="G48" s="33"/>
      <c r="H48" s="2"/>
      <c r="I48" s="2" t="s">
        <v>82</v>
      </c>
      <c r="J48" s="2" t="str">
        <f>J37</f>
        <v>BB Sgt Krg</v>
      </c>
      <c r="K48" s="2" t="str">
        <f t="shared" ref="K48:M48" si="67">K37</f>
        <v>BB Krg</v>
      </c>
      <c r="L48" s="2" t="str">
        <f t="shared" si="67"/>
        <v>BB Normal</v>
      </c>
      <c r="M48" s="2" t="str">
        <f t="shared" si="67"/>
        <v>BB Lebih</v>
      </c>
      <c r="N48" s="2"/>
      <c r="O48" s="2" t="s">
        <v>40</v>
      </c>
      <c r="P48" s="103">
        <f>AVERAGE(D593+D601+D609+D617+D625+D633+D641+D649+D657+D665+D673+D681)</f>
        <v>8</v>
      </c>
      <c r="Q48" s="103">
        <f t="shared" ref="Q48:S48" si="68">AVERAGE(E593+E601+E609+E617+E625+E633+E641+E649+E657+E665+E673+E681)</f>
        <v>36</v>
      </c>
      <c r="R48" s="103">
        <f t="shared" si="68"/>
        <v>696</v>
      </c>
      <c r="S48" s="103">
        <f t="shared" si="68"/>
        <v>22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66"/>
    </row>
    <row r="49" spans="1:40" s="30" customFormat="1" x14ac:dyDescent="0.3">
      <c r="A49" s="11"/>
      <c r="B49" s="29" t="s">
        <v>1</v>
      </c>
      <c r="C49" s="30" t="s">
        <v>6</v>
      </c>
      <c r="D49" s="57"/>
      <c r="E49" s="33"/>
      <c r="F49" s="57"/>
      <c r="G49" s="33"/>
      <c r="H49" s="2"/>
      <c r="I49" s="2" t="s">
        <v>1</v>
      </c>
      <c r="J49" s="103">
        <f>SUM(D43)</f>
        <v>0</v>
      </c>
      <c r="K49" s="103">
        <f t="shared" ref="K49:M49" si="69">SUM(E43)</f>
        <v>0</v>
      </c>
      <c r="L49" s="103">
        <f t="shared" si="69"/>
        <v>0</v>
      </c>
      <c r="M49" s="103">
        <f t="shared" si="69"/>
        <v>0</v>
      </c>
      <c r="N49" s="2"/>
      <c r="O49" s="2" t="s">
        <v>41</v>
      </c>
      <c r="P49" s="103">
        <f t="shared" ref="P49:P52" si="70">AVERAGE(D594+D602+D610+D618+D626+D634+D642+D650+D658+D666+D674+D682)</f>
        <v>6</v>
      </c>
      <c r="Q49" s="103">
        <f t="shared" ref="Q49:Q52" si="71">AVERAGE(E594+E602+E610+E618+E626+E634+E642+E650+E658+E666+E674+E682)</f>
        <v>33</v>
      </c>
      <c r="R49" s="103">
        <f t="shared" ref="R49:R52" si="72">AVERAGE(F594+F602+F610+F618+F626+F634+F642+F650+F658+F666+F674+F682)</f>
        <v>752</v>
      </c>
      <c r="S49" s="103">
        <f t="shared" ref="S49:S52" si="73">AVERAGE(G594+G602+G610+G618+G626+G634+G642+G650+G658+G666+G674+G682)</f>
        <v>37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66"/>
    </row>
    <row r="50" spans="1:40" s="30" customFormat="1" x14ac:dyDescent="0.3">
      <c r="A50" s="11"/>
      <c r="B50" s="29" t="s">
        <v>1</v>
      </c>
      <c r="C50" s="30" t="s">
        <v>7</v>
      </c>
      <c r="D50" s="57"/>
      <c r="E50" s="33"/>
      <c r="F50" s="57"/>
      <c r="G50" s="33"/>
      <c r="H50" s="2"/>
      <c r="I50" s="2" t="s">
        <v>8</v>
      </c>
      <c r="J50" s="103">
        <f>SUM(D144)</f>
        <v>0</v>
      </c>
      <c r="K50" s="103">
        <f t="shared" ref="K50:M50" si="74">SUM(E144)</f>
        <v>0</v>
      </c>
      <c r="L50" s="103">
        <f t="shared" si="74"/>
        <v>0</v>
      </c>
      <c r="M50" s="103">
        <f t="shared" si="74"/>
        <v>0</v>
      </c>
      <c r="N50" s="2"/>
      <c r="O50" s="2" t="s">
        <v>42</v>
      </c>
      <c r="P50" s="103">
        <f t="shared" si="70"/>
        <v>4</v>
      </c>
      <c r="Q50" s="103">
        <f t="shared" si="71"/>
        <v>23</v>
      </c>
      <c r="R50" s="103">
        <f t="shared" si="72"/>
        <v>575</v>
      </c>
      <c r="S50" s="103">
        <f t="shared" si="73"/>
        <v>38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66"/>
    </row>
    <row r="51" spans="1:40" s="30" customFormat="1" x14ac:dyDescent="0.3">
      <c r="A51" s="11"/>
      <c r="B51" s="29"/>
      <c r="C51" s="71"/>
      <c r="D51" s="69"/>
      <c r="E51" s="69"/>
      <c r="F51" s="69"/>
      <c r="G51" s="69"/>
      <c r="H51" s="2"/>
      <c r="I51" s="2" t="s">
        <v>16</v>
      </c>
      <c r="J51" s="103">
        <f>SUM(D245)</f>
        <v>0</v>
      </c>
      <c r="K51" s="103">
        <f t="shared" ref="K51:M51" si="75">SUM(E245)</f>
        <v>0</v>
      </c>
      <c r="L51" s="103">
        <f t="shared" si="75"/>
        <v>0</v>
      </c>
      <c r="M51" s="103">
        <f t="shared" si="75"/>
        <v>0</v>
      </c>
      <c r="N51" s="2"/>
      <c r="O51" s="2" t="s">
        <v>43</v>
      </c>
      <c r="P51" s="103">
        <f t="shared" si="70"/>
        <v>4</v>
      </c>
      <c r="Q51" s="103">
        <f t="shared" si="71"/>
        <v>8</v>
      </c>
      <c r="R51" s="103">
        <f t="shared" si="72"/>
        <v>605</v>
      </c>
      <c r="S51" s="103">
        <f t="shared" si="73"/>
        <v>20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66"/>
    </row>
    <row r="52" spans="1:40" s="30" customFormat="1" x14ac:dyDescent="0.3">
      <c r="A52" s="15"/>
      <c r="B52" s="56" t="s">
        <v>75</v>
      </c>
      <c r="C52" s="55"/>
      <c r="D52" s="65" t="s">
        <v>67</v>
      </c>
      <c r="E52" s="65" t="s">
        <v>68</v>
      </c>
      <c r="F52" s="65" t="s">
        <v>69</v>
      </c>
      <c r="G52" s="65" t="s">
        <v>70</v>
      </c>
      <c r="H52" s="2"/>
      <c r="I52" s="2" t="s">
        <v>21</v>
      </c>
      <c r="J52" s="103">
        <f>SUM(D335)</f>
        <v>0</v>
      </c>
      <c r="K52" s="103">
        <f t="shared" ref="K52:M52" si="76">SUM(E335)</f>
        <v>0</v>
      </c>
      <c r="L52" s="103">
        <f t="shared" si="76"/>
        <v>0</v>
      </c>
      <c r="M52" s="103">
        <f t="shared" si="76"/>
        <v>0</v>
      </c>
      <c r="N52" s="2"/>
      <c r="O52" s="2" t="s">
        <v>44</v>
      </c>
      <c r="P52" s="103">
        <f t="shared" si="70"/>
        <v>1</v>
      </c>
      <c r="Q52" s="103">
        <f t="shared" si="71"/>
        <v>12</v>
      </c>
      <c r="R52" s="103">
        <f t="shared" si="72"/>
        <v>693</v>
      </c>
      <c r="S52" s="103">
        <f t="shared" si="73"/>
        <v>14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66"/>
    </row>
    <row r="53" spans="1:40" s="30" customFormat="1" x14ac:dyDescent="0.3">
      <c r="A53" s="11"/>
      <c r="B53" s="29" t="s">
        <v>1</v>
      </c>
      <c r="C53" s="30" t="s">
        <v>2</v>
      </c>
      <c r="D53" s="57"/>
      <c r="E53" s="33"/>
      <c r="F53" s="57"/>
      <c r="G53" s="33"/>
      <c r="H53" s="2"/>
      <c r="I53" s="2" t="s">
        <v>28</v>
      </c>
      <c r="J53" s="103">
        <f>SUM(D429)</f>
        <v>0</v>
      </c>
      <c r="K53" s="103">
        <f t="shared" ref="K53:M53" si="77">SUM(E429)</f>
        <v>0</v>
      </c>
      <c r="L53" s="103">
        <f t="shared" si="77"/>
        <v>0</v>
      </c>
      <c r="M53" s="103">
        <f t="shared" si="77"/>
        <v>0</v>
      </c>
      <c r="N53" s="2"/>
      <c r="O53" s="2" t="s">
        <v>50</v>
      </c>
      <c r="P53" s="103">
        <f>AVERAGE(D689+D697+D705+D713+D721+D729+D737+D745+D753+D761+D769+D777)</f>
        <v>9</v>
      </c>
      <c r="Q53" s="103">
        <f t="shared" ref="Q53:S53" si="78">AVERAGE(E689+E697+E705+E713+E721+E729+E737+E745+E753+E761+E769+E777)</f>
        <v>47</v>
      </c>
      <c r="R53" s="103">
        <f t="shared" si="78"/>
        <v>431</v>
      </c>
      <c r="S53" s="103">
        <f t="shared" si="78"/>
        <v>12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66"/>
    </row>
    <row r="54" spans="1:40" s="30" customFormat="1" x14ac:dyDescent="0.3">
      <c r="A54" s="11"/>
      <c r="B54" s="29" t="s">
        <v>1</v>
      </c>
      <c r="C54" s="30" t="s">
        <v>3</v>
      </c>
      <c r="D54" s="57"/>
      <c r="E54" s="33"/>
      <c r="F54" s="57"/>
      <c r="G54" s="33"/>
      <c r="H54" s="2"/>
      <c r="I54" s="2" t="s">
        <v>33</v>
      </c>
      <c r="J54" s="103">
        <f>SUM(D526)</f>
        <v>0</v>
      </c>
      <c r="K54" s="103">
        <f t="shared" ref="K54:M54" si="79">SUM(E526)</f>
        <v>0</v>
      </c>
      <c r="L54" s="103">
        <f t="shared" si="79"/>
        <v>0</v>
      </c>
      <c r="M54" s="103">
        <f t="shared" si="79"/>
        <v>0</v>
      </c>
      <c r="N54" s="2"/>
      <c r="O54" s="2" t="s">
        <v>51</v>
      </c>
      <c r="P54" s="103">
        <f t="shared" ref="P54:P58" si="80">AVERAGE(D690+D698+D706+D714+D722+D730+D738+D746+D754+D762+D770+D778)</f>
        <v>7</v>
      </c>
      <c r="Q54" s="103">
        <f t="shared" ref="Q54:Q58" si="81">AVERAGE(E690+E698+E706+E714+E722+E730+E738+E746+E754+E762+E770+E778)</f>
        <v>22</v>
      </c>
      <c r="R54" s="103">
        <f t="shared" ref="R54:R58" si="82">AVERAGE(F690+F698+F706+F714+F722+F730+F738+F746+F754+F762+F770+F778)</f>
        <v>296</v>
      </c>
      <c r="S54" s="103">
        <f t="shared" ref="S54:S58" si="83">AVERAGE(G690+G698+G706+G714+G722+G730+G738+G746+G754+G762+G770+G778)</f>
        <v>10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66"/>
    </row>
    <row r="55" spans="1:40" s="30" customFormat="1" x14ac:dyDescent="0.3">
      <c r="A55" s="11"/>
      <c r="B55" s="29" t="s">
        <v>1</v>
      </c>
      <c r="C55" s="30" t="s">
        <v>4</v>
      </c>
      <c r="D55" s="57"/>
      <c r="E55" s="33"/>
      <c r="F55" s="57"/>
      <c r="G55" s="33"/>
      <c r="H55" s="2"/>
      <c r="I55" s="2" t="s">
        <v>39</v>
      </c>
      <c r="J55" s="103">
        <f>SUM(D622)</f>
        <v>0</v>
      </c>
      <c r="K55" s="103">
        <f t="shared" ref="K55:M55" si="84">SUM(E622)</f>
        <v>0</v>
      </c>
      <c r="L55" s="103">
        <f t="shared" si="84"/>
        <v>0</v>
      </c>
      <c r="M55" s="103">
        <f t="shared" si="84"/>
        <v>0</v>
      </c>
      <c r="N55" s="2"/>
      <c r="O55" s="2" t="s">
        <v>48</v>
      </c>
      <c r="P55" s="103">
        <f t="shared" si="80"/>
        <v>6</v>
      </c>
      <c r="Q55" s="103">
        <f t="shared" si="81"/>
        <v>28</v>
      </c>
      <c r="R55" s="103">
        <f t="shared" si="82"/>
        <v>505</v>
      </c>
      <c r="S55" s="103">
        <f t="shared" si="83"/>
        <v>18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66"/>
    </row>
    <row r="56" spans="1:40" s="30" customFormat="1" x14ac:dyDescent="0.3">
      <c r="A56" s="11"/>
      <c r="B56" s="29" t="s">
        <v>1</v>
      </c>
      <c r="C56" s="30" t="s">
        <v>5</v>
      </c>
      <c r="D56" s="57"/>
      <c r="E56" s="33"/>
      <c r="F56" s="57"/>
      <c r="G56" s="33"/>
      <c r="H56" s="2"/>
      <c r="I56" s="2" t="s">
        <v>45</v>
      </c>
      <c r="J56" s="103">
        <f>SUM(D719)</f>
        <v>0</v>
      </c>
      <c r="K56" s="103">
        <f t="shared" ref="K56:M56" si="85">SUM(E719)</f>
        <v>0</v>
      </c>
      <c r="L56" s="103">
        <f t="shared" si="85"/>
        <v>0</v>
      </c>
      <c r="M56" s="103">
        <f t="shared" si="85"/>
        <v>0</v>
      </c>
      <c r="N56" s="2"/>
      <c r="O56" s="2" t="s">
        <v>58</v>
      </c>
      <c r="P56" s="103">
        <f t="shared" si="80"/>
        <v>16</v>
      </c>
      <c r="Q56" s="103">
        <f t="shared" si="81"/>
        <v>50</v>
      </c>
      <c r="R56" s="103">
        <f t="shared" si="82"/>
        <v>863</v>
      </c>
      <c r="S56" s="103">
        <f t="shared" si="83"/>
        <v>17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66"/>
    </row>
    <row r="57" spans="1:40" s="30" customFormat="1" x14ac:dyDescent="0.3">
      <c r="A57" s="11"/>
      <c r="B57" s="29" t="s">
        <v>1</v>
      </c>
      <c r="C57" s="30" t="s">
        <v>6</v>
      </c>
      <c r="D57" s="57"/>
      <c r="E57" s="33"/>
      <c r="F57" s="57"/>
      <c r="G57" s="33"/>
      <c r="H57" s="2"/>
      <c r="I57" s="2"/>
      <c r="J57" s="2"/>
      <c r="K57" s="2"/>
      <c r="L57" s="2"/>
      <c r="M57" s="2"/>
      <c r="N57" s="2"/>
      <c r="O57" s="2" t="s">
        <v>46</v>
      </c>
      <c r="P57" s="103">
        <f t="shared" si="80"/>
        <v>8</v>
      </c>
      <c r="Q57" s="103">
        <f t="shared" si="81"/>
        <v>34</v>
      </c>
      <c r="R57" s="103">
        <f t="shared" si="82"/>
        <v>796</v>
      </c>
      <c r="S57" s="103">
        <f t="shared" si="83"/>
        <v>38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66"/>
    </row>
    <row r="58" spans="1:40" s="30" customFormat="1" x14ac:dyDescent="0.3">
      <c r="A58" s="11"/>
      <c r="B58" s="29" t="s">
        <v>1</v>
      </c>
      <c r="C58" s="30" t="s">
        <v>7</v>
      </c>
      <c r="D58" s="57"/>
      <c r="E58" s="33"/>
      <c r="F58" s="57"/>
      <c r="G58" s="33"/>
      <c r="H58" s="2"/>
      <c r="I58" s="2"/>
      <c r="J58" s="2"/>
      <c r="K58" s="2"/>
      <c r="L58" s="2"/>
      <c r="M58" s="2"/>
      <c r="N58" s="2"/>
      <c r="O58" s="2" t="s">
        <v>47</v>
      </c>
      <c r="P58" s="103">
        <f t="shared" si="80"/>
        <v>9</v>
      </c>
      <c r="Q58" s="103">
        <f t="shared" si="81"/>
        <v>31</v>
      </c>
      <c r="R58" s="103">
        <f t="shared" si="82"/>
        <v>578</v>
      </c>
      <c r="S58" s="103">
        <f t="shared" si="83"/>
        <v>18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66"/>
    </row>
    <row r="59" spans="1:40" s="30" customFormat="1" x14ac:dyDescent="0.3">
      <c r="A59" s="11"/>
      <c r="B59" s="29"/>
      <c r="C59" s="71"/>
      <c r="D59" s="69"/>
      <c r="E59" s="69"/>
      <c r="F59" s="69"/>
      <c r="G59" s="69"/>
      <c r="H59" s="2"/>
      <c r="I59" s="2" t="s">
        <v>92</v>
      </c>
      <c r="J59" s="2" t="str">
        <f>J48</f>
        <v>BB Sgt Krg</v>
      </c>
      <c r="K59" s="2" t="str">
        <f t="shared" ref="K59:M59" si="86">K48</f>
        <v>BB Krg</v>
      </c>
      <c r="L59" s="2" t="str">
        <f t="shared" si="86"/>
        <v>BB Normal</v>
      </c>
      <c r="M59" s="2" t="str">
        <f t="shared" si="86"/>
        <v>BB Lebih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66"/>
    </row>
    <row r="60" spans="1:40" s="30" customFormat="1" x14ac:dyDescent="0.3">
      <c r="A60" s="15"/>
      <c r="B60" s="56" t="s">
        <v>76</v>
      </c>
      <c r="C60" s="55"/>
      <c r="D60" s="65" t="s">
        <v>67</v>
      </c>
      <c r="E60" s="65" t="s">
        <v>68</v>
      </c>
      <c r="F60" s="65" t="s">
        <v>69</v>
      </c>
      <c r="G60" s="65" t="s">
        <v>70</v>
      </c>
      <c r="H60" s="2"/>
      <c r="I60" s="2" t="s">
        <v>1</v>
      </c>
      <c r="J60" s="103">
        <f>SUM(D51)</f>
        <v>0</v>
      </c>
      <c r="K60" s="103">
        <f t="shared" ref="K60:M60" si="87">SUM(E51)</f>
        <v>0</v>
      </c>
      <c r="L60" s="103">
        <f t="shared" si="87"/>
        <v>0</v>
      </c>
      <c r="M60" s="103">
        <f t="shared" si="87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66"/>
    </row>
    <row r="61" spans="1:40" s="30" customFormat="1" x14ac:dyDescent="0.3">
      <c r="A61" s="11"/>
      <c r="B61" s="29" t="s">
        <v>1</v>
      </c>
      <c r="C61" s="30" t="s">
        <v>2</v>
      </c>
      <c r="D61" s="57"/>
      <c r="E61" s="33"/>
      <c r="F61" s="57"/>
      <c r="G61" s="33"/>
      <c r="H61" s="2"/>
      <c r="I61" s="2" t="s">
        <v>8</v>
      </c>
      <c r="J61" s="103">
        <f>SUM(D153)</f>
        <v>0</v>
      </c>
      <c r="K61" s="103">
        <f t="shared" ref="K61:M61" si="88">SUM(E153)</f>
        <v>0</v>
      </c>
      <c r="L61" s="103">
        <f t="shared" si="88"/>
        <v>0</v>
      </c>
      <c r="M61" s="103">
        <f t="shared" si="88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66"/>
    </row>
    <row r="62" spans="1:40" s="30" customFormat="1" x14ac:dyDescent="0.3">
      <c r="A62" s="11"/>
      <c r="B62" s="29" t="s">
        <v>1</v>
      </c>
      <c r="C62" s="30" t="s">
        <v>3</v>
      </c>
      <c r="D62" s="57"/>
      <c r="E62" s="33"/>
      <c r="F62" s="57"/>
      <c r="G62" s="33"/>
      <c r="H62" s="2"/>
      <c r="I62" s="2" t="s">
        <v>16</v>
      </c>
      <c r="J62" s="103">
        <f>SUM(D253)</f>
        <v>0</v>
      </c>
      <c r="K62" s="103">
        <f t="shared" ref="K62:M62" si="89">SUM(E253)</f>
        <v>0</v>
      </c>
      <c r="L62" s="103">
        <f t="shared" si="89"/>
        <v>0</v>
      </c>
      <c r="M62" s="103">
        <f t="shared" si="89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66"/>
    </row>
    <row r="63" spans="1:40" s="30" customFormat="1" x14ac:dyDescent="0.3">
      <c r="A63" s="11"/>
      <c r="B63" s="29" t="s">
        <v>1</v>
      </c>
      <c r="C63" s="30" t="s">
        <v>4</v>
      </c>
      <c r="D63" s="57"/>
      <c r="E63" s="33"/>
      <c r="F63" s="57"/>
      <c r="G63" s="33"/>
      <c r="H63" s="2"/>
      <c r="I63" s="2" t="s">
        <v>21</v>
      </c>
      <c r="J63" s="103">
        <f>SUM(D351)</f>
        <v>0</v>
      </c>
      <c r="K63" s="103">
        <f t="shared" ref="K63:M63" si="90">SUM(E351)</f>
        <v>0</v>
      </c>
      <c r="L63" s="103">
        <f t="shared" si="90"/>
        <v>0</v>
      </c>
      <c r="M63" s="103">
        <f t="shared" si="90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66"/>
    </row>
    <row r="64" spans="1:40" s="30" customFormat="1" x14ac:dyDescent="0.3">
      <c r="A64" s="11"/>
      <c r="B64" s="29" t="s">
        <v>1</v>
      </c>
      <c r="C64" s="30" t="s">
        <v>5</v>
      </c>
      <c r="D64" s="57"/>
      <c r="E64" s="33"/>
      <c r="F64" s="57"/>
      <c r="G64" s="33"/>
      <c r="H64" s="2"/>
      <c r="I64" s="2" t="s">
        <v>28</v>
      </c>
      <c r="J64" s="103">
        <f>SUM(D445)</f>
        <v>0</v>
      </c>
      <c r="K64" s="103">
        <f t="shared" ref="K64:M64" si="91">SUM(E445)</f>
        <v>0</v>
      </c>
      <c r="L64" s="103">
        <f t="shared" si="91"/>
        <v>0</v>
      </c>
      <c r="M64" s="103">
        <f t="shared" si="9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66"/>
    </row>
    <row r="65" spans="1:40" s="30" customFormat="1" x14ac:dyDescent="0.3">
      <c r="A65" s="11"/>
      <c r="B65" s="29" t="s">
        <v>1</v>
      </c>
      <c r="C65" s="30" t="s">
        <v>6</v>
      </c>
      <c r="D65" s="57"/>
      <c r="E65" s="33"/>
      <c r="F65" s="57"/>
      <c r="G65" s="33"/>
      <c r="H65" s="2"/>
      <c r="I65" s="2" t="s">
        <v>33</v>
      </c>
      <c r="J65" s="103">
        <f>SUM(D542)</f>
        <v>0</v>
      </c>
      <c r="K65" s="103">
        <f t="shared" ref="K65:M65" si="92">SUM(E542)</f>
        <v>0</v>
      </c>
      <c r="L65" s="103">
        <f t="shared" si="92"/>
        <v>0</v>
      </c>
      <c r="M65" s="103">
        <f t="shared" si="9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66"/>
    </row>
    <row r="66" spans="1:40" s="30" customFormat="1" x14ac:dyDescent="0.3">
      <c r="A66" s="11"/>
      <c r="B66" s="29" t="s">
        <v>1</v>
      </c>
      <c r="C66" s="30" t="s">
        <v>7</v>
      </c>
      <c r="D66" s="57"/>
      <c r="E66" s="33"/>
      <c r="F66" s="57"/>
      <c r="G66" s="33"/>
      <c r="H66" s="2"/>
      <c r="I66" s="2" t="s">
        <v>39</v>
      </c>
      <c r="J66" s="103">
        <f>SUM(D638)</f>
        <v>0</v>
      </c>
      <c r="K66" s="103">
        <f t="shared" ref="K66:M66" si="93">SUM(E638)</f>
        <v>0</v>
      </c>
      <c r="L66" s="103">
        <f t="shared" si="93"/>
        <v>0</v>
      </c>
      <c r="M66" s="103">
        <f t="shared" si="93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66"/>
    </row>
    <row r="67" spans="1:40" s="30" customFormat="1" x14ac:dyDescent="0.3">
      <c r="A67" s="11"/>
      <c r="B67" s="29"/>
      <c r="C67" s="71"/>
      <c r="D67" s="69"/>
      <c r="E67" s="69"/>
      <c r="F67" s="69"/>
      <c r="G67" s="69"/>
      <c r="H67" s="2"/>
      <c r="I67" s="2" t="s">
        <v>45</v>
      </c>
      <c r="J67" s="103">
        <f>SUM(D735)</f>
        <v>0</v>
      </c>
      <c r="K67" s="103">
        <f t="shared" ref="K67:M67" si="94">SUM(E735)</f>
        <v>0</v>
      </c>
      <c r="L67" s="103">
        <f t="shared" si="94"/>
        <v>0</v>
      </c>
      <c r="M67" s="103">
        <f t="shared" si="94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66"/>
    </row>
    <row r="68" spans="1:40" s="30" customFormat="1" x14ac:dyDescent="0.3">
      <c r="A68" s="15"/>
      <c r="B68" s="56" t="s">
        <v>77</v>
      </c>
      <c r="C68" s="55"/>
      <c r="D68" s="65" t="s">
        <v>67</v>
      </c>
      <c r="E68" s="65" t="s">
        <v>68</v>
      </c>
      <c r="F68" s="65" t="s">
        <v>69</v>
      </c>
      <c r="G68" s="65" t="s">
        <v>70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66"/>
    </row>
    <row r="69" spans="1:40" s="30" customFormat="1" x14ac:dyDescent="0.3">
      <c r="A69" s="11"/>
      <c r="B69" s="29" t="s">
        <v>1</v>
      </c>
      <c r="C69" s="30" t="s">
        <v>2</v>
      </c>
      <c r="D69" s="57"/>
      <c r="E69" s="33"/>
      <c r="F69" s="57"/>
      <c r="G69" s="3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66"/>
    </row>
    <row r="70" spans="1:40" s="30" customFormat="1" x14ac:dyDescent="0.3">
      <c r="A70" s="11"/>
      <c r="B70" s="29" t="s">
        <v>1</v>
      </c>
      <c r="C70" s="30" t="s">
        <v>3</v>
      </c>
      <c r="D70" s="57"/>
      <c r="E70" s="33"/>
      <c r="F70" s="57"/>
      <c r="G70" s="33"/>
      <c r="H70" s="2"/>
      <c r="I70" s="2" t="s">
        <v>91</v>
      </c>
      <c r="J70" s="2" t="str">
        <f>J59</f>
        <v>BB Sgt Krg</v>
      </c>
      <c r="K70" s="2" t="str">
        <f t="shared" ref="K70:M70" si="95">K59</f>
        <v>BB Krg</v>
      </c>
      <c r="L70" s="2" t="str">
        <f t="shared" si="95"/>
        <v>BB Normal</v>
      </c>
      <c r="M70" s="2" t="str">
        <f t="shared" si="95"/>
        <v>BB Lebih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66"/>
    </row>
    <row r="71" spans="1:40" s="30" customFormat="1" x14ac:dyDescent="0.3">
      <c r="A71" s="11"/>
      <c r="B71" s="29" t="s">
        <v>1</v>
      </c>
      <c r="C71" s="30" t="s">
        <v>4</v>
      </c>
      <c r="D71" s="57"/>
      <c r="E71" s="33"/>
      <c r="F71" s="57"/>
      <c r="G71" s="33"/>
      <c r="H71" s="2"/>
      <c r="I71" s="2" t="s">
        <v>1</v>
      </c>
      <c r="J71" s="103">
        <f t="shared" ref="J71:K71" si="96">SUM(D59)</f>
        <v>0</v>
      </c>
      <c r="K71" s="103">
        <f t="shared" si="96"/>
        <v>0</v>
      </c>
      <c r="L71" s="103">
        <f>SUM(F59)</f>
        <v>0</v>
      </c>
      <c r="M71" s="103">
        <f>SUM(G59)</f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66"/>
    </row>
    <row r="72" spans="1:40" s="30" customFormat="1" x14ac:dyDescent="0.3">
      <c r="A72" s="11"/>
      <c r="B72" s="29" t="s">
        <v>1</v>
      </c>
      <c r="C72" s="30" t="s">
        <v>5</v>
      </c>
      <c r="D72" s="57"/>
      <c r="E72" s="33"/>
      <c r="F72" s="57"/>
      <c r="G72" s="33"/>
      <c r="H72" s="2"/>
      <c r="I72" s="2" t="s">
        <v>8</v>
      </c>
      <c r="J72" s="103">
        <f>SUM(D162)</f>
        <v>0</v>
      </c>
      <c r="K72" s="103">
        <f t="shared" ref="K72:M72" si="97">SUM(E162)</f>
        <v>0</v>
      </c>
      <c r="L72" s="103">
        <f t="shared" si="97"/>
        <v>0</v>
      </c>
      <c r="M72" s="103">
        <f t="shared" si="97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66"/>
    </row>
    <row r="73" spans="1:40" s="30" customFormat="1" x14ac:dyDescent="0.3">
      <c r="A73" s="11"/>
      <c r="B73" s="29" t="s">
        <v>1</v>
      </c>
      <c r="C73" s="30" t="s">
        <v>6</v>
      </c>
      <c r="D73" s="57"/>
      <c r="E73" s="33"/>
      <c r="F73" s="57"/>
      <c r="G73" s="33"/>
      <c r="H73" s="2"/>
      <c r="I73" s="2" t="s">
        <v>16</v>
      </c>
      <c r="J73" s="103">
        <f>SUM(D261)</f>
        <v>0</v>
      </c>
      <c r="K73" s="103">
        <f t="shared" ref="K73:M73" si="98">SUM(E261)</f>
        <v>0</v>
      </c>
      <c r="L73" s="103">
        <f t="shared" si="98"/>
        <v>0</v>
      </c>
      <c r="M73" s="103">
        <f t="shared" si="98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66"/>
    </row>
    <row r="74" spans="1:40" s="30" customFormat="1" x14ac:dyDescent="0.3">
      <c r="A74" s="11"/>
      <c r="B74" s="29" t="s">
        <v>1</v>
      </c>
      <c r="C74" s="30" t="s">
        <v>7</v>
      </c>
      <c r="D74" s="57"/>
      <c r="E74" s="33"/>
      <c r="F74" s="57"/>
      <c r="G74" s="33"/>
      <c r="H74" s="2"/>
      <c r="I74" s="2" t="s">
        <v>21</v>
      </c>
      <c r="J74" s="103">
        <f>SUM(D359)</f>
        <v>0</v>
      </c>
      <c r="K74" s="103">
        <f t="shared" ref="K74:M74" si="99">SUM(E359)</f>
        <v>0</v>
      </c>
      <c r="L74" s="103">
        <f t="shared" si="99"/>
        <v>0</v>
      </c>
      <c r="M74" s="103">
        <f t="shared" si="99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66"/>
    </row>
    <row r="75" spans="1:40" s="30" customFormat="1" x14ac:dyDescent="0.3">
      <c r="A75" s="11"/>
      <c r="B75" s="29"/>
      <c r="C75" s="71"/>
      <c r="D75" s="69"/>
      <c r="E75" s="70"/>
      <c r="F75" s="69"/>
      <c r="G75" s="70"/>
      <c r="H75" s="2"/>
      <c r="I75" s="2" t="s">
        <v>28</v>
      </c>
      <c r="J75" s="103">
        <f>SUM(D453)</f>
        <v>0</v>
      </c>
      <c r="K75" s="103">
        <f t="shared" ref="K75:M75" si="100">SUM(E453)</f>
        <v>0</v>
      </c>
      <c r="L75" s="103">
        <f t="shared" si="100"/>
        <v>0</v>
      </c>
      <c r="M75" s="103">
        <f t="shared" si="100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66"/>
    </row>
    <row r="76" spans="1:40" s="30" customFormat="1" x14ac:dyDescent="0.3">
      <c r="A76" s="15"/>
      <c r="B76" s="56" t="s">
        <v>78</v>
      </c>
      <c r="C76" s="55"/>
      <c r="D76" s="65" t="s">
        <v>67</v>
      </c>
      <c r="E76" s="65" t="s">
        <v>68</v>
      </c>
      <c r="F76" s="65" t="s">
        <v>69</v>
      </c>
      <c r="G76" s="65" t="s">
        <v>70</v>
      </c>
      <c r="H76" s="2"/>
      <c r="I76" s="2" t="s">
        <v>33</v>
      </c>
      <c r="J76" s="103">
        <f>SUM(D542)</f>
        <v>0</v>
      </c>
      <c r="K76" s="103">
        <f t="shared" ref="K76:M76" si="101">SUM(E542)</f>
        <v>0</v>
      </c>
      <c r="L76" s="103">
        <f t="shared" si="101"/>
        <v>0</v>
      </c>
      <c r="M76" s="103">
        <f t="shared" si="10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66"/>
    </row>
    <row r="77" spans="1:40" s="30" customFormat="1" x14ac:dyDescent="0.3">
      <c r="A77" s="11"/>
      <c r="B77" s="29" t="s">
        <v>1</v>
      </c>
      <c r="C77" s="30" t="s">
        <v>2</v>
      </c>
      <c r="D77" s="57"/>
      <c r="E77" s="33"/>
      <c r="F77" s="57"/>
      <c r="G77" s="33"/>
      <c r="H77" s="2"/>
      <c r="I77" s="2" t="s">
        <v>39</v>
      </c>
      <c r="J77" s="103">
        <f>SUM(D646)</f>
        <v>0</v>
      </c>
      <c r="K77" s="103">
        <f t="shared" ref="K77:M77" si="102">SUM(E646)</f>
        <v>0</v>
      </c>
      <c r="L77" s="103">
        <f t="shared" si="102"/>
        <v>0</v>
      </c>
      <c r="M77" s="103">
        <f t="shared" si="10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66"/>
    </row>
    <row r="78" spans="1:40" s="30" customFormat="1" x14ac:dyDescent="0.3">
      <c r="A78" s="11"/>
      <c r="B78" s="29" t="s">
        <v>1</v>
      </c>
      <c r="C78" s="30" t="s">
        <v>3</v>
      </c>
      <c r="D78" s="57"/>
      <c r="E78" s="33"/>
      <c r="F78" s="57"/>
      <c r="G78" s="33"/>
      <c r="H78" s="2"/>
      <c r="I78" s="2" t="s">
        <v>45</v>
      </c>
      <c r="J78" s="103">
        <f>SUM(D743)</f>
        <v>0</v>
      </c>
      <c r="K78" s="103">
        <f t="shared" ref="K78:M78" si="103">SUM(E743)</f>
        <v>0</v>
      </c>
      <c r="L78" s="103">
        <f t="shared" si="103"/>
        <v>0</v>
      </c>
      <c r="M78" s="103">
        <f t="shared" si="103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66"/>
    </row>
    <row r="79" spans="1:40" s="30" customFormat="1" x14ac:dyDescent="0.3">
      <c r="A79" s="11"/>
      <c r="B79" s="29" t="s">
        <v>1</v>
      </c>
      <c r="C79" s="30" t="s">
        <v>4</v>
      </c>
      <c r="D79" s="57"/>
      <c r="E79" s="33"/>
      <c r="F79" s="57"/>
      <c r="G79" s="3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66"/>
    </row>
    <row r="80" spans="1:40" s="30" customFormat="1" x14ac:dyDescent="0.3">
      <c r="A80" s="11"/>
      <c r="B80" s="29" t="s">
        <v>1</v>
      </c>
      <c r="C80" s="30" t="s">
        <v>5</v>
      </c>
      <c r="D80" s="57"/>
      <c r="E80" s="33"/>
      <c r="F80" s="57"/>
      <c r="G80" s="3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66"/>
    </row>
    <row r="81" spans="1:40" s="30" customFormat="1" x14ac:dyDescent="0.3">
      <c r="A81" s="11"/>
      <c r="B81" s="29" t="s">
        <v>1</v>
      </c>
      <c r="C81" s="30" t="s">
        <v>6</v>
      </c>
      <c r="D81" s="57"/>
      <c r="E81" s="33"/>
      <c r="F81" s="57"/>
      <c r="G81" s="33"/>
      <c r="H81" s="2"/>
      <c r="I81" s="2" t="s">
        <v>90</v>
      </c>
      <c r="J81" s="2" t="str">
        <f>J70</f>
        <v>BB Sgt Krg</v>
      </c>
      <c r="K81" s="2" t="str">
        <f t="shared" ref="K81:M81" si="104">K70</f>
        <v>BB Krg</v>
      </c>
      <c r="L81" s="2" t="str">
        <f t="shared" si="104"/>
        <v>BB Normal</v>
      </c>
      <c r="M81" s="2" t="str">
        <f t="shared" si="104"/>
        <v>BB Lebih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66"/>
    </row>
    <row r="82" spans="1:40" s="30" customFormat="1" x14ac:dyDescent="0.3">
      <c r="A82" s="11"/>
      <c r="B82" s="29" t="s">
        <v>1</v>
      </c>
      <c r="C82" s="30" t="s">
        <v>7</v>
      </c>
      <c r="D82" s="57"/>
      <c r="E82" s="33"/>
      <c r="F82" s="57"/>
      <c r="G82" s="33"/>
      <c r="H82" s="2"/>
      <c r="I82" s="2" t="s">
        <v>1</v>
      </c>
      <c r="J82" s="103">
        <f>SUM(D61:D66)</f>
        <v>0</v>
      </c>
      <c r="K82" s="103">
        <f t="shared" ref="K82:M82" si="105">SUM(E61:E66)</f>
        <v>0</v>
      </c>
      <c r="L82" s="103">
        <f t="shared" si="105"/>
        <v>0</v>
      </c>
      <c r="M82" s="103">
        <f t="shared" si="105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66"/>
    </row>
    <row r="83" spans="1:40" s="30" customFormat="1" x14ac:dyDescent="0.3">
      <c r="A83" s="11"/>
      <c r="B83" s="29"/>
      <c r="C83" s="71"/>
      <c r="D83" s="69"/>
      <c r="E83" s="70"/>
      <c r="F83" s="69"/>
      <c r="G83" s="70"/>
      <c r="H83" s="2"/>
      <c r="I83" s="2" t="s">
        <v>8</v>
      </c>
      <c r="J83" s="103">
        <f>SUM(D164:D170)</f>
        <v>0</v>
      </c>
      <c r="K83" s="103">
        <f t="shared" ref="K83:M83" si="106">SUM(E164:E170)</f>
        <v>0</v>
      </c>
      <c r="L83" s="103">
        <f t="shared" si="106"/>
        <v>0</v>
      </c>
      <c r="M83" s="103">
        <f t="shared" si="106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66"/>
    </row>
    <row r="84" spans="1:40" s="30" customFormat="1" x14ac:dyDescent="0.3">
      <c r="A84" s="15"/>
      <c r="B84" s="56" t="s">
        <v>79</v>
      </c>
      <c r="C84" s="55"/>
      <c r="D84" s="65" t="s">
        <v>67</v>
      </c>
      <c r="E84" s="65" t="s">
        <v>68</v>
      </c>
      <c r="F84" s="65" t="s">
        <v>69</v>
      </c>
      <c r="G84" s="65" t="s">
        <v>70</v>
      </c>
      <c r="H84" s="2"/>
      <c r="I84" s="2" t="s">
        <v>16</v>
      </c>
      <c r="J84" s="103">
        <f>SUM(D265:D268)</f>
        <v>0</v>
      </c>
      <c r="K84" s="103">
        <f t="shared" ref="K84:M84" si="107">SUM(E265:E268)</f>
        <v>0</v>
      </c>
      <c r="L84" s="103">
        <f t="shared" si="107"/>
        <v>0</v>
      </c>
      <c r="M84" s="103">
        <f t="shared" si="107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66"/>
    </row>
    <row r="85" spans="1:40" s="30" customFormat="1" x14ac:dyDescent="0.3">
      <c r="A85" s="11"/>
      <c r="B85" s="29" t="s">
        <v>1</v>
      </c>
      <c r="C85" s="30" t="s">
        <v>2</v>
      </c>
      <c r="D85" s="57"/>
      <c r="E85" s="33"/>
      <c r="F85" s="57"/>
      <c r="G85" s="33"/>
      <c r="H85" s="2"/>
      <c r="I85" s="2" t="s">
        <v>21</v>
      </c>
      <c r="J85" s="103">
        <f>SUM(D361:D366)</f>
        <v>0</v>
      </c>
      <c r="K85" s="103">
        <f t="shared" ref="K85:M85" si="108">SUM(E361:E366)</f>
        <v>0</v>
      </c>
      <c r="L85" s="103">
        <f t="shared" si="108"/>
        <v>0</v>
      </c>
      <c r="M85" s="103">
        <f t="shared" si="108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66"/>
    </row>
    <row r="86" spans="1:40" s="30" customFormat="1" x14ac:dyDescent="0.3">
      <c r="A86" s="11"/>
      <c r="B86" s="29" t="s">
        <v>1</v>
      </c>
      <c r="C86" s="30" t="s">
        <v>3</v>
      </c>
      <c r="D86" s="57"/>
      <c r="E86" s="33"/>
      <c r="F86" s="57"/>
      <c r="G86" s="33"/>
      <c r="H86" s="2"/>
      <c r="I86" s="2" t="s">
        <v>28</v>
      </c>
      <c r="J86" s="103">
        <f>SUM(D457:D460)</f>
        <v>0</v>
      </c>
      <c r="K86" s="103">
        <f t="shared" ref="K86:M86" si="109">SUM(E457:E460)</f>
        <v>0</v>
      </c>
      <c r="L86" s="103">
        <f t="shared" si="109"/>
        <v>0</v>
      </c>
      <c r="M86" s="103">
        <f t="shared" si="109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66"/>
    </row>
    <row r="87" spans="1:40" s="30" customFormat="1" x14ac:dyDescent="0.3">
      <c r="A87" s="11"/>
      <c r="B87" s="29" t="s">
        <v>1</v>
      </c>
      <c r="C87" s="30" t="s">
        <v>4</v>
      </c>
      <c r="D87" s="57"/>
      <c r="E87" s="33"/>
      <c r="F87" s="57"/>
      <c r="G87" s="33"/>
      <c r="H87" s="2"/>
      <c r="I87" s="2" t="s">
        <v>33</v>
      </c>
      <c r="J87" s="103">
        <f>SUM(D553:D557)</f>
        <v>0</v>
      </c>
      <c r="K87" s="103">
        <f t="shared" ref="K87:M87" si="110">SUM(E553:E557)</f>
        <v>0</v>
      </c>
      <c r="L87" s="103">
        <f t="shared" si="110"/>
        <v>0</v>
      </c>
      <c r="M87" s="103">
        <f t="shared" si="110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66"/>
    </row>
    <row r="88" spans="1:40" s="30" customFormat="1" x14ac:dyDescent="0.3">
      <c r="A88" s="11"/>
      <c r="B88" s="29" t="s">
        <v>1</v>
      </c>
      <c r="C88" s="30" t="s">
        <v>5</v>
      </c>
      <c r="D88" s="57"/>
      <c r="E88" s="33"/>
      <c r="F88" s="57"/>
      <c r="G88" s="33"/>
      <c r="H88" s="2"/>
      <c r="I88" s="2" t="s">
        <v>39</v>
      </c>
      <c r="J88" s="103">
        <f>SUM(D649:D653)</f>
        <v>0</v>
      </c>
      <c r="K88" s="103">
        <f t="shared" ref="K88:M88" si="111">SUM(E649:E653)</f>
        <v>0</v>
      </c>
      <c r="L88" s="103">
        <f t="shared" si="111"/>
        <v>0</v>
      </c>
      <c r="M88" s="103">
        <f t="shared" si="11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66"/>
    </row>
    <row r="89" spans="1:40" s="30" customFormat="1" x14ac:dyDescent="0.3">
      <c r="A89" s="11"/>
      <c r="B89" s="29" t="s">
        <v>1</v>
      </c>
      <c r="C89" s="30" t="s">
        <v>6</v>
      </c>
      <c r="D89" s="57"/>
      <c r="E89" s="33"/>
      <c r="F89" s="57"/>
      <c r="G89" s="33"/>
      <c r="H89" s="2"/>
      <c r="I89" s="2" t="s">
        <v>45</v>
      </c>
      <c r="J89" s="103">
        <f>SUM(D745:D750)</f>
        <v>0</v>
      </c>
      <c r="K89" s="103">
        <f t="shared" ref="K89:M89" si="112">SUM(E745:E750)</f>
        <v>0</v>
      </c>
      <c r="L89" s="103">
        <f t="shared" si="112"/>
        <v>0</v>
      </c>
      <c r="M89" s="103">
        <f t="shared" si="112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66"/>
    </row>
    <row r="90" spans="1:40" s="30" customFormat="1" x14ac:dyDescent="0.3">
      <c r="A90" s="11"/>
      <c r="B90" s="29" t="s">
        <v>1</v>
      </c>
      <c r="C90" s="30" t="s">
        <v>7</v>
      </c>
      <c r="D90" s="57"/>
      <c r="E90" s="33"/>
      <c r="F90" s="57"/>
      <c r="G90" s="3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66"/>
    </row>
    <row r="91" spans="1:40" s="30" customFormat="1" x14ac:dyDescent="0.3">
      <c r="A91" s="11"/>
      <c r="B91" s="29"/>
      <c r="C91" s="71"/>
      <c r="D91" s="69"/>
      <c r="E91" s="70"/>
      <c r="F91" s="69"/>
      <c r="G91" s="7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66"/>
    </row>
    <row r="92" spans="1:40" s="30" customFormat="1" x14ac:dyDescent="0.3">
      <c r="A92" s="15"/>
      <c r="B92" s="56" t="s">
        <v>80</v>
      </c>
      <c r="C92" s="55"/>
      <c r="D92" s="65" t="s">
        <v>67</v>
      </c>
      <c r="E92" s="65" t="s">
        <v>68</v>
      </c>
      <c r="F92" s="65" t="s">
        <v>69</v>
      </c>
      <c r="G92" s="65" t="s">
        <v>70</v>
      </c>
      <c r="H92" s="2"/>
      <c r="I92" s="2" t="s">
        <v>89</v>
      </c>
      <c r="J92" s="2" t="str">
        <f>J81</f>
        <v>BB Sgt Krg</v>
      </c>
      <c r="K92" s="2" t="str">
        <f t="shared" ref="K92:M92" si="113">K81</f>
        <v>BB Krg</v>
      </c>
      <c r="L92" s="2" t="str">
        <f t="shared" si="113"/>
        <v>BB Normal</v>
      </c>
      <c r="M92" s="2" t="str">
        <f t="shared" si="113"/>
        <v>BB Lebih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66"/>
    </row>
    <row r="93" spans="1:40" s="30" customFormat="1" x14ac:dyDescent="0.3">
      <c r="A93" s="11"/>
      <c r="B93" s="29" t="s">
        <v>1</v>
      </c>
      <c r="C93" s="30" t="s">
        <v>2</v>
      </c>
      <c r="D93" s="57"/>
      <c r="E93" s="33"/>
      <c r="F93" s="57"/>
      <c r="G93" s="33"/>
      <c r="H93" s="2"/>
      <c r="I93" s="2" t="s">
        <v>1</v>
      </c>
      <c r="J93" s="103">
        <f>SUM(D69:D74)</f>
        <v>0</v>
      </c>
      <c r="K93" s="103">
        <f t="shared" ref="K93:M93" si="114">SUM(E69:E74)</f>
        <v>0</v>
      </c>
      <c r="L93" s="103">
        <f t="shared" si="114"/>
        <v>0</v>
      </c>
      <c r="M93" s="103">
        <f t="shared" si="114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66"/>
    </row>
    <row r="94" spans="1:40" s="30" customFormat="1" x14ac:dyDescent="0.3">
      <c r="A94" s="11"/>
      <c r="B94" s="29" t="s">
        <v>1</v>
      </c>
      <c r="C94" s="30" t="s">
        <v>3</v>
      </c>
      <c r="D94" s="57"/>
      <c r="E94" s="33"/>
      <c r="F94" s="57"/>
      <c r="G94" s="33"/>
      <c r="H94" s="2"/>
      <c r="I94" s="2" t="s">
        <v>8</v>
      </c>
      <c r="J94" s="103">
        <f>SUM(D173:D179)</f>
        <v>0</v>
      </c>
      <c r="K94" s="103">
        <f t="shared" ref="K94:M94" si="115">SUM(E173:E179)</f>
        <v>0</v>
      </c>
      <c r="L94" s="103">
        <f t="shared" si="115"/>
        <v>0</v>
      </c>
      <c r="M94" s="103">
        <f t="shared" si="115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66"/>
    </row>
    <row r="95" spans="1:40" s="30" customFormat="1" x14ac:dyDescent="0.3">
      <c r="A95" s="11"/>
      <c r="B95" s="29" t="s">
        <v>1</v>
      </c>
      <c r="C95" s="30" t="s">
        <v>4</v>
      </c>
      <c r="D95" s="57"/>
      <c r="E95" s="33"/>
      <c r="F95" s="57"/>
      <c r="G95" s="33"/>
      <c r="H95" s="2"/>
      <c r="I95" s="2" t="s">
        <v>16</v>
      </c>
      <c r="J95" s="103">
        <f>SUM(D273:D276)</f>
        <v>0</v>
      </c>
      <c r="K95" s="103">
        <f t="shared" ref="K95:M95" si="116">SUM(E273:E276)</f>
        <v>0</v>
      </c>
      <c r="L95" s="103">
        <f t="shared" si="116"/>
        <v>0</v>
      </c>
      <c r="M95" s="103">
        <f t="shared" si="116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66"/>
    </row>
    <row r="96" spans="1:40" s="30" customFormat="1" x14ac:dyDescent="0.3">
      <c r="A96" s="11"/>
      <c r="B96" s="29" t="s">
        <v>1</v>
      </c>
      <c r="C96" s="30" t="s">
        <v>5</v>
      </c>
      <c r="D96" s="57"/>
      <c r="E96" s="33"/>
      <c r="F96" s="57"/>
      <c r="G96" s="33"/>
      <c r="H96" s="2"/>
      <c r="I96" s="2" t="s">
        <v>21</v>
      </c>
      <c r="J96" s="103">
        <f>SUM(D369:D374)</f>
        <v>0</v>
      </c>
      <c r="K96" s="103">
        <f t="shared" ref="K96:M96" si="117">SUM(E369:E374)</f>
        <v>0</v>
      </c>
      <c r="L96" s="103">
        <f t="shared" si="117"/>
        <v>0</v>
      </c>
      <c r="M96" s="103">
        <f t="shared" si="117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66"/>
    </row>
    <row r="97" spans="1:40" s="30" customFormat="1" x14ac:dyDescent="0.3">
      <c r="A97" s="11"/>
      <c r="B97" s="29" t="s">
        <v>1</v>
      </c>
      <c r="C97" s="30" t="s">
        <v>6</v>
      </c>
      <c r="D97" s="57"/>
      <c r="E97" s="33"/>
      <c r="F97" s="57"/>
      <c r="G97" s="33"/>
      <c r="H97" s="2"/>
      <c r="I97" s="2" t="s">
        <v>28</v>
      </c>
      <c r="J97" s="103">
        <f>SUM(D465:D468)</f>
        <v>0</v>
      </c>
      <c r="K97" s="103">
        <f t="shared" ref="K97:M97" si="118">SUM(E465:E468)</f>
        <v>0</v>
      </c>
      <c r="L97" s="103">
        <f t="shared" si="118"/>
        <v>0</v>
      </c>
      <c r="M97" s="103">
        <f t="shared" si="118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66"/>
    </row>
    <row r="98" spans="1:40" s="30" customFormat="1" x14ac:dyDescent="0.3">
      <c r="A98" s="11"/>
      <c r="B98" s="29" t="s">
        <v>1</v>
      </c>
      <c r="C98" s="30" t="s">
        <v>7</v>
      </c>
      <c r="D98" s="57"/>
      <c r="E98" s="33"/>
      <c r="F98" s="57"/>
      <c r="G98" s="33"/>
      <c r="H98" s="2"/>
      <c r="I98" s="2" t="s">
        <v>33</v>
      </c>
      <c r="J98" s="103">
        <f>SUM(D561:D565)</f>
        <v>0</v>
      </c>
      <c r="K98" s="103">
        <f t="shared" ref="K98:M98" si="119">SUM(E561:E565)</f>
        <v>0</v>
      </c>
      <c r="L98" s="103">
        <f t="shared" si="119"/>
        <v>0</v>
      </c>
      <c r="M98" s="103">
        <f t="shared" si="119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66"/>
    </row>
    <row r="99" spans="1:40" s="30" customFormat="1" x14ac:dyDescent="0.3">
      <c r="A99" s="11"/>
      <c r="B99" s="29"/>
      <c r="D99" s="69"/>
      <c r="E99" s="70"/>
      <c r="F99" s="69"/>
      <c r="G99" s="70"/>
      <c r="H99" s="2"/>
      <c r="I99" s="2" t="s">
        <v>39</v>
      </c>
      <c r="J99" s="103">
        <f>SUM(D657:D661)</f>
        <v>0</v>
      </c>
      <c r="K99" s="103">
        <f t="shared" ref="K99:M99" si="120">SUM(E657:E661)</f>
        <v>0</v>
      </c>
      <c r="L99" s="103">
        <f t="shared" si="120"/>
        <v>0</v>
      </c>
      <c r="M99" s="103">
        <f t="shared" si="120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66"/>
    </row>
    <row r="100" spans="1:40" s="28" customFormat="1" x14ac:dyDescent="0.3">
      <c r="A100" s="11"/>
      <c r="B100" s="54" t="s">
        <v>71</v>
      </c>
      <c r="D100" s="65" t="s">
        <v>67</v>
      </c>
      <c r="E100" s="65" t="s">
        <v>68</v>
      </c>
      <c r="F100" s="65" t="s">
        <v>69</v>
      </c>
      <c r="G100" s="65" t="s">
        <v>70</v>
      </c>
      <c r="H100" s="2"/>
      <c r="I100" s="2" t="s">
        <v>45</v>
      </c>
      <c r="J100" s="103">
        <f>SUM(D753:D758)</f>
        <v>0</v>
      </c>
      <c r="K100" s="103">
        <f t="shared" ref="K100:M100" si="121">SUM(E753:E758)</f>
        <v>0</v>
      </c>
      <c r="L100" s="103">
        <f t="shared" si="121"/>
        <v>0</v>
      </c>
      <c r="M100" s="103">
        <f t="shared" si="12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67"/>
    </row>
    <row r="101" spans="1:40" s="32" customFormat="1" x14ac:dyDescent="0.3">
      <c r="A101" s="11"/>
      <c r="B101" s="31" t="s">
        <v>60</v>
      </c>
      <c r="C101" s="32" t="s">
        <v>14</v>
      </c>
      <c r="D101" s="58">
        <v>7</v>
      </c>
      <c r="E101" s="34">
        <v>31</v>
      </c>
      <c r="F101" s="58">
        <v>596</v>
      </c>
      <c r="G101" s="34">
        <v>29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68"/>
    </row>
    <row r="102" spans="1:40" s="32" customFormat="1" x14ac:dyDescent="0.3">
      <c r="A102" s="11"/>
      <c r="B102" s="31" t="s">
        <v>60</v>
      </c>
      <c r="C102" s="32" t="s">
        <v>15</v>
      </c>
      <c r="D102" s="58">
        <v>10</v>
      </c>
      <c r="E102" s="34">
        <v>69</v>
      </c>
      <c r="F102" s="58">
        <v>660</v>
      </c>
      <c r="G102" s="34">
        <v>45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68"/>
    </row>
    <row r="103" spans="1:40" s="32" customFormat="1" x14ac:dyDescent="0.3">
      <c r="A103" s="11"/>
      <c r="B103" s="31" t="s">
        <v>60</v>
      </c>
      <c r="C103" s="32" t="s">
        <v>12</v>
      </c>
      <c r="D103" s="58">
        <v>4</v>
      </c>
      <c r="E103" s="34">
        <v>19</v>
      </c>
      <c r="F103" s="58">
        <v>672</v>
      </c>
      <c r="G103" s="34">
        <v>56</v>
      </c>
      <c r="H103" s="2"/>
      <c r="I103" s="2" t="s">
        <v>88</v>
      </c>
      <c r="J103" s="2" t="str">
        <f>J92</f>
        <v>BB Sgt Krg</v>
      </c>
      <c r="K103" s="2" t="str">
        <f t="shared" ref="K103:M103" si="122">K92</f>
        <v>BB Krg</v>
      </c>
      <c r="L103" s="2" t="str">
        <f t="shared" si="122"/>
        <v>BB Normal</v>
      </c>
      <c r="M103" s="2" t="str">
        <f t="shared" si="122"/>
        <v>BB Lebih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68"/>
    </row>
    <row r="104" spans="1:40" s="32" customFormat="1" x14ac:dyDescent="0.3">
      <c r="A104" s="11"/>
      <c r="B104" s="31" t="s">
        <v>61</v>
      </c>
      <c r="C104" s="32" t="s">
        <v>10</v>
      </c>
      <c r="D104" s="58">
        <v>5</v>
      </c>
      <c r="E104" s="34">
        <v>22</v>
      </c>
      <c r="F104" s="58">
        <v>847</v>
      </c>
      <c r="G104" s="34">
        <v>20</v>
      </c>
      <c r="H104" s="2"/>
      <c r="I104" s="2" t="s">
        <v>1</v>
      </c>
      <c r="J104" s="103">
        <f>SUM(D77:D82)</f>
        <v>0</v>
      </c>
      <c r="K104" s="103">
        <f t="shared" ref="K104:M104" si="123">SUM(E77:E82)</f>
        <v>0</v>
      </c>
      <c r="L104" s="103">
        <f t="shared" si="123"/>
        <v>0</v>
      </c>
      <c r="M104" s="103">
        <f t="shared" si="123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68"/>
    </row>
    <row r="105" spans="1:40" s="32" customFormat="1" x14ac:dyDescent="0.3">
      <c r="A105" s="11"/>
      <c r="B105" s="31" t="s">
        <v>61</v>
      </c>
      <c r="C105" s="32" t="s">
        <v>57</v>
      </c>
      <c r="D105" s="58">
        <v>2</v>
      </c>
      <c r="E105" s="34">
        <v>21</v>
      </c>
      <c r="F105" s="58">
        <v>701</v>
      </c>
      <c r="G105" s="34">
        <v>23</v>
      </c>
      <c r="H105" s="2"/>
      <c r="I105" s="2" t="s">
        <v>8</v>
      </c>
      <c r="J105" s="103">
        <f>SUM(D182:D188)</f>
        <v>0</v>
      </c>
      <c r="K105" s="103">
        <f t="shared" ref="K105:M105" si="124">SUM(E182:E188)</f>
        <v>0</v>
      </c>
      <c r="L105" s="103">
        <f t="shared" si="124"/>
        <v>0</v>
      </c>
      <c r="M105" s="103">
        <f t="shared" si="124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68"/>
    </row>
    <row r="106" spans="1:40" s="32" customFormat="1" x14ac:dyDescent="0.3">
      <c r="A106" s="11"/>
      <c r="B106" s="31" t="s">
        <v>61</v>
      </c>
      <c r="C106" s="32" t="s">
        <v>11</v>
      </c>
      <c r="D106" s="58">
        <v>6</v>
      </c>
      <c r="E106" s="34">
        <v>24</v>
      </c>
      <c r="F106" s="58">
        <v>506</v>
      </c>
      <c r="G106" s="34">
        <v>45</v>
      </c>
      <c r="H106" s="2"/>
      <c r="I106" s="2" t="s">
        <v>16</v>
      </c>
      <c r="J106" s="103">
        <f>SUM(D281:D284)</f>
        <v>0</v>
      </c>
      <c r="K106" s="103">
        <f t="shared" ref="K106:M106" si="125">SUM(E281:E284)</f>
        <v>0</v>
      </c>
      <c r="L106" s="103">
        <f t="shared" si="125"/>
        <v>0</v>
      </c>
      <c r="M106" s="103">
        <f t="shared" si="125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68"/>
    </row>
    <row r="107" spans="1:40" s="32" customFormat="1" x14ac:dyDescent="0.3">
      <c r="A107" s="11"/>
      <c r="B107" s="31" t="s">
        <v>61</v>
      </c>
      <c r="C107" s="32" t="s">
        <v>9</v>
      </c>
      <c r="D107" s="58">
        <v>4</v>
      </c>
      <c r="E107" s="34">
        <v>17</v>
      </c>
      <c r="F107" s="58">
        <v>271</v>
      </c>
      <c r="G107" s="34">
        <v>16</v>
      </c>
      <c r="H107" s="2"/>
      <c r="I107" s="2" t="s">
        <v>21</v>
      </c>
      <c r="J107" s="103">
        <f>SUM(D377:D382)</f>
        <v>0</v>
      </c>
      <c r="K107" s="103">
        <f t="shared" ref="K107:M107" si="126">SUM(E377:E382)</f>
        <v>0</v>
      </c>
      <c r="L107" s="103">
        <f t="shared" si="126"/>
        <v>0</v>
      </c>
      <c r="M107" s="103">
        <f t="shared" si="126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68"/>
    </row>
    <row r="108" spans="1:40" s="32" customFormat="1" x14ac:dyDescent="0.3">
      <c r="A108" s="11"/>
      <c r="B108" s="31"/>
      <c r="D108" s="76">
        <f>SUM(D101:D107)</f>
        <v>38</v>
      </c>
      <c r="E108" s="76">
        <f t="shared" ref="E108:G108" si="127">SUM(E101:E107)</f>
        <v>203</v>
      </c>
      <c r="F108" s="76">
        <f t="shared" si="127"/>
        <v>4253</v>
      </c>
      <c r="G108" s="76">
        <f t="shared" si="127"/>
        <v>234</v>
      </c>
      <c r="H108" s="2"/>
      <c r="I108" s="2" t="s">
        <v>28</v>
      </c>
      <c r="J108" s="103">
        <f>SUM(D473:D476)</f>
        <v>0</v>
      </c>
      <c r="K108" s="103">
        <f t="shared" ref="K108:M108" si="128">SUM(E473:E476)</f>
        <v>0</v>
      </c>
      <c r="L108" s="103">
        <f t="shared" si="128"/>
        <v>0</v>
      </c>
      <c r="M108" s="103">
        <f t="shared" si="128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68"/>
    </row>
    <row r="109" spans="1:40" s="30" customFormat="1" x14ac:dyDescent="0.3">
      <c r="A109" s="11"/>
      <c r="B109" s="54" t="s">
        <v>72</v>
      </c>
      <c r="C109" s="28"/>
      <c r="D109" s="65" t="s">
        <v>67</v>
      </c>
      <c r="E109" s="65" t="s">
        <v>68</v>
      </c>
      <c r="F109" s="65" t="s">
        <v>69</v>
      </c>
      <c r="G109" s="65" t="s">
        <v>70</v>
      </c>
      <c r="H109" s="2"/>
      <c r="I109" s="2" t="s">
        <v>33</v>
      </c>
      <c r="J109" s="103">
        <f>SUM(D569:D573)</f>
        <v>0</v>
      </c>
      <c r="K109" s="103">
        <f t="shared" ref="K109:M109" si="129">SUM(E569:E573)</f>
        <v>0</v>
      </c>
      <c r="L109" s="103">
        <f t="shared" si="129"/>
        <v>0</v>
      </c>
      <c r="M109" s="103">
        <f t="shared" si="129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66"/>
    </row>
    <row r="110" spans="1:40" s="30" customFormat="1" x14ac:dyDescent="0.3">
      <c r="A110" s="11"/>
      <c r="B110" s="31" t="s">
        <v>60</v>
      </c>
      <c r="C110" s="32" t="s">
        <v>14</v>
      </c>
      <c r="D110" s="58"/>
      <c r="E110" s="34"/>
      <c r="F110" s="58"/>
      <c r="G110" s="34"/>
      <c r="H110" s="2"/>
      <c r="I110" s="2" t="s">
        <v>39</v>
      </c>
      <c r="J110" s="103">
        <f>SUM(D665:D669)</f>
        <v>0</v>
      </c>
      <c r="K110" s="103">
        <f t="shared" ref="K110:M110" si="130">SUM(E665:E669)</f>
        <v>0</v>
      </c>
      <c r="L110" s="103">
        <f t="shared" si="130"/>
        <v>0</v>
      </c>
      <c r="M110" s="103">
        <f t="shared" si="130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66"/>
    </row>
    <row r="111" spans="1:40" s="30" customFormat="1" x14ac:dyDescent="0.3">
      <c r="A111" s="11"/>
      <c r="B111" s="31" t="s">
        <v>60</v>
      </c>
      <c r="C111" s="32" t="s">
        <v>15</v>
      </c>
      <c r="D111" s="58"/>
      <c r="E111" s="34"/>
      <c r="F111" s="58"/>
      <c r="G111" s="34"/>
      <c r="H111" s="2"/>
      <c r="I111" s="2" t="s">
        <v>45</v>
      </c>
      <c r="J111" s="103">
        <f>SUM(D761:D766)</f>
        <v>0</v>
      </c>
      <c r="K111" s="103">
        <f t="shared" ref="K111:M111" si="131">SUM(E761:E766)</f>
        <v>0</v>
      </c>
      <c r="L111" s="103">
        <f t="shared" si="131"/>
        <v>0</v>
      </c>
      <c r="M111" s="103">
        <f t="shared" si="13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66"/>
    </row>
    <row r="112" spans="1:40" s="30" customFormat="1" x14ac:dyDescent="0.3">
      <c r="A112" s="11"/>
      <c r="B112" s="31" t="s">
        <v>60</v>
      </c>
      <c r="C112" s="32" t="s">
        <v>12</v>
      </c>
      <c r="D112" s="58"/>
      <c r="E112" s="34"/>
      <c r="F112" s="58"/>
      <c r="G112" s="3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66"/>
    </row>
    <row r="113" spans="1:40" s="30" customFormat="1" x14ac:dyDescent="0.3">
      <c r="A113" s="11"/>
      <c r="B113" s="31" t="s">
        <v>61</v>
      </c>
      <c r="C113" s="32" t="s">
        <v>10</v>
      </c>
      <c r="D113" s="58"/>
      <c r="E113" s="34"/>
      <c r="F113" s="58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66"/>
    </row>
    <row r="114" spans="1:40" s="30" customFormat="1" x14ac:dyDescent="0.3">
      <c r="A114" s="11"/>
      <c r="B114" s="31" t="s">
        <v>61</v>
      </c>
      <c r="C114" s="32" t="s">
        <v>57</v>
      </c>
      <c r="D114" s="58"/>
      <c r="E114" s="34"/>
      <c r="F114" s="58"/>
      <c r="G114" s="34"/>
      <c r="H114" s="2"/>
      <c r="I114" s="2" t="s">
        <v>87</v>
      </c>
      <c r="J114" s="2" t="str">
        <f>J103</f>
        <v>BB Sgt Krg</v>
      </c>
      <c r="K114" s="2" t="str">
        <f t="shared" ref="K114:M114" si="132">K103</f>
        <v>BB Krg</v>
      </c>
      <c r="L114" s="2" t="str">
        <f t="shared" si="132"/>
        <v>BB Normal</v>
      </c>
      <c r="M114" s="2" t="str">
        <f t="shared" si="132"/>
        <v>BB Lebih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66"/>
    </row>
    <row r="115" spans="1:40" s="30" customFormat="1" x14ac:dyDescent="0.3">
      <c r="A115" s="11"/>
      <c r="B115" s="31" t="s">
        <v>61</v>
      </c>
      <c r="C115" s="32" t="s">
        <v>11</v>
      </c>
      <c r="D115" s="58"/>
      <c r="E115" s="34"/>
      <c r="F115" s="58"/>
      <c r="G115" s="34"/>
      <c r="H115" s="2"/>
      <c r="I115" s="2" t="s">
        <v>1</v>
      </c>
      <c r="J115" s="103">
        <f>SUM(D85:D90)</f>
        <v>0</v>
      </c>
      <c r="K115" s="103">
        <f t="shared" ref="K115:M115" si="133">SUM(E85:E90)</f>
        <v>0</v>
      </c>
      <c r="L115" s="103">
        <f t="shared" si="133"/>
        <v>0</v>
      </c>
      <c r="M115" s="103">
        <f t="shared" si="133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66"/>
    </row>
    <row r="116" spans="1:40" s="30" customFormat="1" x14ac:dyDescent="0.3">
      <c r="A116" s="11"/>
      <c r="B116" s="31" t="s">
        <v>61</v>
      </c>
      <c r="C116" s="32" t="s">
        <v>9</v>
      </c>
      <c r="D116" s="58"/>
      <c r="E116" s="34"/>
      <c r="F116" s="58"/>
      <c r="G116" s="34"/>
      <c r="H116" s="2"/>
      <c r="I116" s="2" t="s">
        <v>8</v>
      </c>
      <c r="J116" s="103">
        <f>SUM(D191:D197)</f>
        <v>0</v>
      </c>
      <c r="K116" s="103">
        <f t="shared" ref="K116:M116" si="134">SUM(E191:E197)</f>
        <v>0</v>
      </c>
      <c r="L116" s="103">
        <f t="shared" si="134"/>
        <v>0</v>
      </c>
      <c r="M116" s="103">
        <f t="shared" si="134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66"/>
    </row>
    <row r="117" spans="1:40" s="30" customFormat="1" x14ac:dyDescent="0.3">
      <c r="A117" s="11"/>
      <c r="B117" s="31"/>
      <c r="C117" s="32"/>
      <c r="D117" s="76"/>
      <c r="E117" s="76"/>
      <c r="F117" s="76"/>
      <c r="G117" s="76"/>
      <c r="H117" s="2"/>
      <c r="I117" s="2" t="s">
        <v>16</v>
      </c>
      <c r="J117" s="103">
        <f>SUM(D289:D292)</f>
        <v>0</v>
      </c>
      <c r="K117" s="103">
        <f t="shared" ref="K117:M117" si="135">SUM(E289:E292)</f>
        <v>0</v>
      </c>
      <c r="L117" s="103">
        <f t="shared" si="135"/>
        <v>0</v>
      </c>
      <c r="M117" s="103">
        <f t="shared" si="135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66"/>
    </row>
    <row r="118" spans="1:40" s="30" customFormat="1" x14ac:dyDescent="0.3">
      <c r="A118" s="11"/>
      <c r="B118" s="54" t="s">
        <v>73</v>
      </c>
      <c r="C118" s="28"/>
      <c r="D118" s="65" t="s">
        <v>67</v>
      </c>
      <c r="E118" s="65" t="s">
        <v>68</v>
      </c>
      <c r="F118" s="65" t="s">
        <v>69</v>
      </c>
      <c r="G118" s="65" t="s">
        <v>70</v>
      </c>
      <c r="H118" s="2"/>
      <c r="I118" s="2" t="s">
        <v>21</v>
      </c>
      <c r="J118" s="103">
        <f>SUM(D385:D390)</f>
        <v>0</v>
      </c>
      <c r="K118" s="103">
        <f t="shared" ref="K118:M118" si="136">SUM(E385:E390)</f>
        <v>0</v>
      </c>
      <c r="L118" s="103">
        <f t="shared" si="136"/>
        <v>0</v>
      </c>
      <c r="M118" s="103">
        <f t="shared" si="136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66"/>
    </row>
    <row r="119" spans="1:40" s="30" customFormat="1" x14ac:dyDescent="0.3">
      <c r="A119" s="11"/>
      <c r="B119" s="31" t="s">
        <v>60</v>
      </c>
      <c r="C119" s="32" t="s">
        <v>14</v>
      </c>
      <c r="D119" s="58"/>
      <c r="E119" s="34"/>
      <c r="F119" s="58"/>
      <c r="G119" s="34"/>
      <c r="H119" s="2"/>
      <c r="I119" s="2" t="s">
        <v>28</v>
      </c>
      <c r="J119" s="103">
        <f>SUM(D481:D484)</f>
        <v>0</v>
      </c>
      <c r="K119" s="103">
        <f t="shared" ref="K119:M119" si="137">SUM(E481:E484)</f>
        <v>0</v>
      </c>
      <c r="L119" s="103">
        <f t="shared" si="137"/>
        <v>0</v>
      </c>
      <c r="M119" s="103">
        <f t="shared" si="137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66"/>
    </row>
    <row r="120" spans="1:40" s="30" customFormat="1" x14ac:dyDescent="0.3">
      <c r="A120" s="11"/>
      <c r="B120" s="31" t="s">
        <v>60</v>
      </c>
      <c r="C120" s="32" t="s">
        <v>15</v>
      </c>
      <c r="D120" s="58"/>
      <c r="E120" s="34"/>
      <c r="F120" s="58"/>
      <c r="G120" s="34"/>
      <c r="H120" s="2"/>
      <c r="I120" s="2" t="s">
        <v>33</v>
      </c>
      <c r="J120" s="103">
        <f>SUM(D577:D581)</f>
        <v>0</v>
      </c>
      <c r="K120" s="103">
        <f t="shared" ref="K120:M120" si="138">SUM(E577:E581)</f>
        <v>0</v>
      </c>
      <c r="L120" s="103">
        <f t="shared" si="138"/>
        <v>0</v>
      </c>
      <c r="M120" s="103">
        <f t="shared" si="138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66"/>
    </row>
    <row r="121" spans="1:40" s="30" customFormat="1" x14ac:dyDescent="0.3">
      <c r="A121" s="11"/>
      <c r="B121" s="31" t="s">
        <v>60</v>
      </c>
      <c r="C121" s="32" t="s">
        <v>12</v>
      </c>
      <c r="D121" s="58"/>
      <c r="E121" s="34"/>
      <c r="F121" s="58"/>
      <c r="G121" s="34"/>
      <c r="H121" s="2"/>
      <c r="I121" s="2" t="s">
        <v>39</v>
      </c>
      <c r="J121" s="103">
        <f>SUM(D673:D677)</f>
        <v>0</v>
      </c>
      <c r="K121" s="103">
        <f t="shared" ref="K121:M121" si="139">SUM(E673:E677)</f>
        <v>0</v>
      </c>
      <c r="L121" s="103">
        <f t="shared" si="139"/>
        <v>0</v>
      </c>
      <c r="M121" s="103">
        <f t="shared" si="139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66"/>
    </row>
    <row r="122" spans="1:40" s="30" customFormat="1" x14ac:dyDescent="0.3">
      <c r="A122" s="11"/>
      <c r="B122" s="31" t="s">
        <v>61</v>
      </c>
      <c r="C122" s="32" t="s">
        <v>10</v>
      </c>
      <c r="D122" s="58"/>
      <c r="E122" s="34"/>
      <c r="F122" s="58"/>
      <c r="G122" s="34"/>
      <c r="H122" s="2"/>
      <c r="I122" s="2" t="s">
        <v>45</v>
      </c>
      <c r="J122" s="103">
        <f>SUM(D769:D774)</f>
        <v>0</v>
      </c>
      <c r="K122" s="103">
        <f t="shared" ref="K122:M122" si="140">SUM(E769:E774)</f>
        <v>0</v>
      </c>
      <c r="L122" s="103">
        <f t="shared" si="140"/>
        <v>0</v>
      </c>
      <c r="M122" s="103">
        <f t="shared" si="140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66"/>
    </row>
    <row r="123" spans="1:40" s="30" customFormat="1" x14ac:dyDescent="0.3">
      <c r="A123" s="11"/>
      <c r="B123" s="31" t="s">
        <v>61</v>
      </c>
      <c r="C123" s="32" t="s">
        <v>57</v>
      </c>
      <c r="D123" s="58"/>
      <c r="E123" s="34"/>
      <c r="F123" s="58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66"/>
    </row>
    <row r="124" spans="1:40" s="30" customFormat="1" x14ac:dyDescent="0.3">
      <c r="A124" s="11"/>
      <c r="B124" s="31" t="s">
        <v>61</v>
      </c>
      <c r="C124" s="32" t="s">
        <v>11</v>
      </c>
      <c r="D124" s="58"/>
      <c r="E124" s="34"/>
      <c r="F124" s="58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66"/>
    </row>
    <row r="125" spans="1:40" s="30" customFormat="1" x14ac:dyDescent="0.3">
      <c r="A125" s="11"/>
      <c r="B125" s="31" t="s">
        <v>61</v>
      </c>
      <c r="C125" s="32" t="s">
        <v>9</v>
      </c>
      <c r="D125" s="58"/>
      <c r="E125" s="34"/>
      <c r="F125" s="58"/>
      <c r="G125" s="34"/>
      <c r="H125" s="2"/>
      <c r="I125" s="2" t="s">
        <v>86</v>
      </c>
      <c r="J125" s="2" t="str">
        <f>J114</f>
        <v>BB Sgt Krg</v>
      </c>
      <c r="K125" s="2" t="str">
        <f t="shared" ref="K125:M125" si="141">K114</f>
        <v>BB Krg</v>
      </c>
      <c r="L125" s="2" t="str">
        <f t="shared" si="141"/>
        <v>BB Normal</v>
      </c>
      <c r="M125" s="2" t="str">
        <f t="shared" si="141"/>
        <v>BB Lebih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66"/>
    </row>
    <row r="126" spans="1:40" s="30" customFormat="1" x14ac:dyDescent="0.3">
      <c r="A126" s="11"/>
      <c r="B126" s="31"/>
      <c r="C126" s="32"/>
      <c r="D126" s="76"/>
      <c r="E126" s="76"/>
      <c r="F126" s="76"/>
      <c r="G126" s="76"/>
      <c r="H126" s="2"/>
      <c r="I126" s="2" t="s">
        <v>1</v>
      </c>
      <c r="J126" s="103">
        <f>SUM(D93:D98)</f>
        <v>0</v>
      </c>
      <c r="K126" s="103">
        <f t="shared" ref="K126:M126" si="142">SUM(E93:E98)</f>
        <v>0</v>
      </c>
      <c r="L126" s="103">
        <f t="shared" si="142"/>
        <v>0</v>
      </c>
      <c r="M126" s="103">
        <f t="shared" si="142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66"/>
    </row>
    <row r="127" spans="1:40" s="30" customFormat="1" x14ac:dyDescent="0.3">
      <c r="A127" s="11"/>
      <c r="B127" s="54" t="s">
        <v>81</v>
      </c>
      <c r="C127" s="28"/>
      <c r="D127" s="65" t="s">
        <v>67</v>
      </c>
      <c r="E127" s="65" t="s">
        <v>68</v>
      </c>
      <c r="F127" s="65" t="s">
        <v>69</v>
      </c>
      <c r="G127" s="65" t="s">
        <v>70</v>
      </c>
      <c r="H127" s="2"/>
      <c r="I127" s="2" t="s">
        <v>8</v>
      </c>
      <c r="J127" s="103">
        <f>SUM(D200:D206)</f>
        <v>0</v>
      </c>
      <c r="K127" s="103">
        <f t="shared" ref="K127:M127" si="143">SUM(E200:E206)</f>
        <v>0</v>
      </c>
      <c r="L127" s="103">
        <f t="shared" si="143"/>
        <v>0</v>
      </c>
      <c r="M127" s="103">
        <f t="shared" si="143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66"/>
    </row>
    <row r="128" spans="1:40" s="30" customFormat="1" x14ac:dyDescent="0.3">
      <c r="A128" s="11"/>
      <c r="B128" s="31" t="s">
        <v>60</v>
      </c>
      <c r="C128" s="32" t="s">
        <v>14</v>
      </c>
      <c r="D128" s="58"/>
      <c r="E128" s="34"/>
      <c r="F128" s="58"/>
      <c r="G128" s="34"/>
      <c r="H128" s="2"/>
      <c r="I128" s="2" t="s">
        <v>16</v>
      </c>
      <c r="J128" s="103">
        <f>SUM(D297:D300)</f>
        <v>0</v>
      </c>
      <c r="K128" s="103">
        <f t="shared" ref="K128:M128" si="144">SUM(E297:E300)</f>
        <v>0</v>
      </c>
      <c r="L128" s="103">
        <f t="shared" si="144"/>
        <v>0</v>
      </c>
      <c r="M128" s="103">
        <f t="shared" si="144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66"/>
    </row>
    <row r="129" spans="1:40" s="30" customFormat="1" x14ac:dyDescent="0.3">
      <c r="A129" s="11"/>
      <c r="B129" s="31" t="s">
        <v>60</v>
      </c>
      <c r="C129" s="32" t="s">
        <v>15</v>
      </c>
      <c r="D129" s="58"/>
      <c r="E129" s="34"/>
      <c r="F129" s="58"/>
      <c r="G129" s="34"/>
      <c r="H129" s="2"/>
      <c r="I129" s="2" t="s">
        <v>21</v>
      </c>
      <c r="J129" s="103">
        <f>SUM(D393:D398)</f>
        <v>0</v>
      </c>
      <c r="K129" s="103">
        <f t="shared" ref="K129:M129" si="145">SUM(E393:E398)</f>
        <v>0</v>
      </c>
      <c r="L129" s="103">
        <f t="shared" si="145"/>
        <v>0</v>
      </c>
      <c r="M129" s="103">
        <f t="shared" si="145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66"/>
    </row>
    <row r="130" spans="1:40" s="30" customFormat="1" x14ac:dyDescent="0.3">
      <c r="A130" s="11"/>
      <c r="B130" s="31" t="s">
        <v>60</v>
      </c>
      <c r="C130" s="32" t="s">
        <v>12</v>
      </c>
      <c r="D130" s="58"/>
      <c r="E130" s="34"/>
      <c r="F130" s="58"/>
      <c r="G130" s="34"/>
      <c r="H130" s="2"/>
      <c r="I130" s="2" t="s">
        <v>28</v>
      </c>
      <c r="J130" s="103">
        <f>SUM(D489:D492)</f>
        <v>0</v>
      </c>
      <c r="K130" s="103">
        <f t="shared" ref="K130:M130" si="146">SUM(E489:E492)</f>
        <v>0</v>
      </c>
      <c r="L130" s="103">
        <f t="shared" si="146"/>
        <v>0</v>
      </c>
      <c r="M130" s="103">
        <f t="shared" si="146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66"/>
    </row>
    <row r="131" spans="1:40" s="30" customFormat="1" x14ac:dyDescent="0.3">
      <c r="A131" s="11"/>
      <c r="B131" s="31" t="s">
        <v>61</v>
      </c>
      <c r="C131" s="32" t="s">
        <v>10</v>
      </c>
      <c r="D131" s="58"/>
      <c r="E131" s="34"/>
      <c r="F131" s="58"/>
      <c r="G131" s="34"/>
      <c r="H131" s="2"/>
      <c r="I131" s="2" t="s">
        <v>33</v>
      </c>
      <c r="J131" s="103">
        <f>SUM(D585:D589)</f>
        <v>0</v>
      </c>
      <c r="K131" s="103">
        <f t="shared" ref="K131:M131" si="147">SUM(E585:E589)</f>
        <v>0</v>
      </c>
      <c r="L131" s="103">
        <f t="shared" si="147"/>
        <v>0</v>
      </c>
      <c r="M131" s="103">
        <f t="shared" si="147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66"/>
    </row>
    <row r="132" spans="1:40" s="30" customFormat="1" x14ac:dyDescent="0.3">
      <c r="A132" s="11"/>
      <c r="B132" s="31" t="s">
        <v>61</v>
      </c>
      <c r="C132" s="32" t="s">
        <v>57</v>
      </c>
      <c r="D132" s="58"/>
      <c r="E132" s="34"/>
      <c r="F132" s="58"/>
      <c r="G132" s="34"/>
      <c r="H132" s="2"/>
      <c r="I132" s="2" t="s">
        <v>39</v>
      </c>
      <c r="J132" s="103">
        <f>SUM(D681:D685)</f>
        <v>0</v>
      </c>
      <c r="K132" s="103">
        <f t="shared" ref="K132:M132" si="148">SUM(E681:E685)</f>
        <v>0</v>
      </c>
      <c r="L132" s="103">
        <f t="shared" si="148"/>
        <v>0</v>
      </c>
      <c r="M132" s="103">
        <f t="shared" si="148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66"/>
    </row>
    <row r="133" spans="1:40" s="30" customFormat="1" x14ac:dyDescent="0.3">
      <c r="A133" s="11"/>
      <c r="B133" s="31" t="s">
        <v>61</v>
      </c>
      <c r="C133" s="32" t="s">
        <v>11</v>
      </c>
      <c r="D133" s="58"/>
      <c r="E133" s="34"/>
      <c r="F133" s="58"/>
      <c r="G133" s="34"/>
      <c r="H133" s="2"/>
      <c r="I133" s="2" t="s">
        <v>45</v>
      </c>
      <c r="J133" s="103">
        <f>SUM(D777:D782)</f>
        <v>0</v>
      </c>
      <c r="K133" s="103">
        <f t="shared" ref="K133:M133" si="149">SUM(E777:E782)</f>
        <v>0</v>
      </c>
      <c r="L133" s="103">
        <f t="shared" si="149"/>
        <v>0</v>
      </c>
      <c r="M133" s="103">
        <f t="shared" si="149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66"/>
    </row>
    <row r="134" spans="1:40" s="30" customFormat="1" x14ac:dyDescent="0.3">
      <c r="A134" s="11"/>
      <c r="B134" s="31" t="s">
        <v>61</v>
      </c>
      <c r="C134" s="32" t="s">
        <v>9</v>
      </c>
      <c r="D134" s="58"/>
      <c r="E134" s="34"/>
      <c r="F134" s="58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66"/>
    </row>
    <row r="135" spans="1:40" s="30" customFormat="1" x14ac:dyDescent="0.3">
      <c r="A135" s="11"/>
      <c r="B135" s="31"/>
      <c r="C135" s="32"/>
      <c r="D135" s="76"/>
      <c r="E135" s="76"/>
      <c r="F135" s="76"/>
      <c r="G135" s="7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66"/>
    </row>
    <row r="136" spans="1:40" s="30" customFormat="1" x14ac:dyDescent="0.3">
      <c r="A136" s="11"/>
      <c r="B136" s="54" t="s">
        <v>82</v>
      </c>
      <c r="C136" s="28"/>
      <c r="D136" s="65" t="s">
        <v>67</v>
      </c>
      <c r="E136" s="65" t="s">
        <v>68</v>
      </c>
      <c r="F136" s="65" t="s">
        <v>69</v>
      </c>
      <c r="G136" s="65" t="s">
        <v>70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66"/>
    </row>
    <row r="137" spans="1:40" s="30" customFormat="1" x14ac:dyDescent="0.3">
      <c r="A137" s="11"/>
      <c r="B137" s="31" t="s">
        <v>60</v>
      </c>
      <c r="C137" s="32" t="s">
        <v>14</v>
      </c>
      <c r="D137" s="58"/>
      <c r="E137" s="34"/>
      <c r="F137" s="58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66"/>
    </row>
    <row r="138" spans="1:40" s="30" customFormat="1" x14ac:dyDescent="0.3">
      <c r="A138" s="11"/>
      <c r="B138" s="31" t="s">
        <v>60</v>
      </c>
      <c r="C138" s="32" t="s">
        <v>15</v>
      </c>
      <c r="D138" s="58"/>
      <c r="E138" s="34"/>
      <c r="F138" s="58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66"/>
    </row>
    <row r="139" spans="1:40" s="30" customFormat="1" x14ac:dyDescent="0.3">
      <c r="A139" s="11"/>
      <c r="B139" s="31" t="s">
        <v>60</v>
      </c>
      <c r="C139" s="32" t="s">
        <v>12</v>
      </c>
      <c r="D139" s="58"/>
      <c r="E139" s="34"/>
      <c r="F139" s="58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66"/>
    </row>
    <row r="140" spans="1:40" s="30" customFormat="1" x14ac:dyDescent="0.3">
      <c r="A140" s="11"/>
      <c r="B140" s="31" t="s">
        <v>61</v>
      </c>
      <c r="C140" s="32" t="s">
        <v>10</v>
      </c>
      <c r="D140" s="58"/>
      <c r="E140" s="34"/>
      <c r="F140" s="58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66"/>
    </row>
    <row r="141" spans="1:40" s="30" customFormat="1" x14ac:dyDescent="0.3">
      <c r="A141" s="11"/>
      <c r="B141" s="31" t="s">
        <v>61</v>
      </c>
      <c r="C141" s="32" t="s">
        <v>57</v>
      </c>
      <c r="D141" s="58"/>
      <c r="E141" s="34"/>
      <c r="F141" s="58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66"/>
    </row>
    <row r="142" spans="1:40" s="30" customFormat="1" x14ac:dyDescent="0.3">
      <c r="A142" s="11"/>
      <c r="B142" s="31" t="s">
        <v>61</v>
      </c>
      <c r="C142" s="32" t="s">
        <v>11</v>
      </c>
      <c r="D142" s="58"/>
      <c r="E142" s="34"/>
      <c r="F142" s="58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66"/>
    </row>
    <row r="143" spans="1:40" s="30" customFormat="1" x14ac:dyDescent="0.3">
      <c r="A143" s="11"/>
      <c r="B143" s="31" t="s">
        <v>61</v>
      </c>
      <c r="C143" s="32" t="s">
        <v>9</v>
      </c>
      <c r="D143" s="58"/>
      <c r="E143" s="34"/>
      <c r="F143" s="58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66"/>
    </row>
    <row r="144" spans="1:40" s="30" customFormat="1" x14ac:dyDescent="0.3">
      <c r="A144" s="11"/>
      <c r="B144" s="31"/>
      <c r="C144" s="32"/>
      <c r="D144" s="76"/>
      <c r="E144" s="76"/>
      <c r="F144" s="76"/>
      <c r="G144" s="7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66"/>
    </row>
    <row r="145" spans="1:40" s="30" customFormat="1" x14ac:dyDescent="0.3">
      <c r="A145" s="11"/>
      <c r="B145" s="54" t="s">
        <v>74</v>
      </c>
      <c r="C145" s="28"/>
      <c r="D145" s="65" t="s">
        <v>67</v>
      </c>
      <c r="E145" s="65" t="s">
        <v>68</v>
      </c>
      <c r="F145" s="65" t="s">
        <v>69</v>
      </c>
      <c r="G145" s="65" t="s">
        <v>70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66"/>
    </row>
    <row r="146" spans="1:40" s="30" customFormat="1" x14ac:dyDescent="0.3">
      <c r="A146" s="11"/>
      <c r="B146" s="31" t="s">
        <v>60</v>
      </c>
      <c r="C146" s="32" t="s">
        <v>14</v>
      </c>
      <c r="D146" s="58"/>
      <c r="E146" s="34"/>
      <c r="F146" s="58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66"/>
    </row>
    <row r="147" spans="1:40" s="30" customFormat="1" x14ac:dyDescent="0.3">
      <c r="A147" s="11"/>
      <c r="B147" s="31" t="s">
        <v>60</v>
      </c>
      <c r="C147" s="32" t="s">
        <v>15</v>
      </c>
      <c r="D147" s="58"/>
      <c r="E147" s="34"/>
      <c r="F147" s="58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66"/>
    </row>
    <row r="148" spans="1:40" s="30" customFormat="1" x14ac:dyDescent="0.3">
      <c r="A148" s="11"/>
      <c r="B148" s="31" t="s">
        <v>60</v>
      </c>
      <c r="C148" s="32" t="s">
        <v>12</v>
      </c>
      <c r="D148" s="58"/>
      <c r="E148" s="34"/>
      <c r="F148" s="58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66"/>
    </row>
    <row r="149" spans="1:40" s="30" customFormat="1" x14ac:dyDescent="0.3">
      <c r="A149" s="11"/>
      <c r="B149" s="31" t="s">
        <v>61</v>
      </c>
      <c r="C149" s="32" t="s">
        <v>10</v>
      </c>
      <c r="D149" s="58"/>
      <c r="E149" s="34"/>
      <c r="F149" s="58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66"/>
    </row>
    <row r="150" spans="1:40" s="30" customFormat="1" x14ac:dyDescent="0.3">
      <c r="A150" s="11"/>
      <c r="B150" s="31" t="s">
        <v>61</v>
      </c>
      <c r="C150" s="32" t="s">
        <v>57</v>
      </c>
      <c r="D150" s="58"/>
      <c r="E150" s="34"/>
      <c r="F150" s="58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66"/>
    </row>
    <row r="151" spans="1:40" s="30" customFormat="1" x14ac:dyDescent="0.3">
      <c r="A151" s="11"/>
      <c r="B151" s="31" t="s">
        <v>61</v>
      </c>
      <c r="C151" s="32" t="s">
        <v>11</v>
      </c>
      <c r="D151" s="58"/>
      <c r="E151" s="34"/>
      <c r="F151" s="58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66"/>
    </row>
    <row r="152" spans="1:40" s="30" customFormat="1" x14ac:dyDescent="0.3">
      <c r="A152" s="11"/>
      <c r="B152" s="31" t="s">
        <v>61</v>
      </c>
      <c r="C152" s="32" t="s">
        <v>9</v>
      </c>
      <c r="D152" s="58"/>
      <c r="E152" s="34"/>
      <c r="F152" s="58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66"/>
    </row>
    <row r="153" spans="1:40" s="30" customFormat="1" x14ac:dyDescent="0.3">
      <c r="A153" s="11"/>
      <c r="B153" s="31"/>
      <c r="C153" s="32"/>
      <c r="D153" s="76"/>
      <c r="E153" s="76"/>
      <c r="F153" s="76"/>
      <c r="G153" s="7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66"/>
    </row>
    <row r="154" spans="1:40" s="30" customFormat="1" x14ac:dyDescent="0.3">
      <c r="A154" s="11"/>
      <c r="B154" s="54" t="s">
        <v>75</v>
      </c>
      <c r="C154" s="28"/>
      <c r="D154" s="65" t="s">
        <v>67</v>
      </c>
      <c r="E154" s="65" t="s">
        <v>68</v>
      </c>
      <c r="F154" s="65" t="s">
        <v>69</v>
      </c>
      <c r="G154" s="65" t="s">
        <v>70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66"/>
    </row>
    <row r="155" spans="1:40" s="30" customFormat="1" x14ac:dyDescent="0.3">
      <c r="A155" s="11"/>
      <c r="B155" s="31" t="s">
        <v>60</v>
      </c>
      <c r="C155" s="32" t="s">
        <v>14</v>
      </c>
      <c r="D155" s="58"/>
      <c r="E155" s="34"/>
      <c r="F155" s="58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66"/>
    </row>
    <row r="156" spans="1:40" s="30" customFormat="1" x14ac:dyDescent="0.3">
      <c r="A156" s="11"/>
      <c r="B156" s="31" t="s">
        <v>60</v>
      </c>
      <c r="C156" s="32" t="s">
        <v>15</v>
      </c>
      <c r="D156" s="58"/>
      <c r="E156" s="34"/>
      <c r="F156" s="58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66"/>
    </row>
    <row r="157" spans="1:40" s="30" customFormat="1" x14ac:dyDescent="0.3">
      <c r="A157" s="11"/>
      <c r="B157" s="31" t="s">
        <v>60</v>
      </c>
      <c r="C157" s="32" t="s">
        <v>12</v>
      </c>
      <c r="D157" s="58"/>
      <c r="E157" s="34"/>
      <c r="F157" s="58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66"/>
    </row>
    <row r="158" spans="1:40" s="30" customFormat="1" x14ac:dyDescent="0.3">
      <c r="A158" s="11"/>
      <c r="B158" s="31" t="s">
        <v>61</v>
      </c>
      <c r="C158" s="32" t="s">
        <v>10</v>
      </c>
      <c r="D158" s="58"/>
      <c r="E158" s="34"/>
      <c r="F158" s="58"/>
      <c r="G158" s="3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66"/>
    </row>
    <row r="159" spans="1:40" s="30" customFormat="1" x14ac:dyDescent="0.3">
      <c r="A159" s="11"/>
      <c r="B159" s="31" t="s">
        <v>61</v>
      </c>
      <c r="C159" s="32" t="s">
        <v>57</v>
      </c>
      <c r="D159" s="58"/>
      <c r="E159" s="34"/>
      <c r="F159" s="58"/>
      <c r="G159" s="3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66"/>
    </row>
    <row r="160" spans="1:40" s="30" customFormat="1" x14ac:dyDescent="0.3">
      <c r="A160" s="11"/>
      <c r="B160" s="31" t="s">
        <v>61</v>
      </c>
      <c r="C160" s="32" t="s">
        <v>11</v>
      </c>
      <c r="D160" s="58"/>
      <c r="E160" s="34"/>
      <c r="F160" s="58"/>
      <c r="G160" s="3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66"/>
    </row>
    <row r="161" spans="1:40" s="30" customFormat="1" x14ac:dyDescent="0.3">
      <c r="A161" s="11"/>
      <c r="B161" s="31" t="s">
        <v>61</v>
      </c>
      <c r="C161" s="32" t="s">
        <v>9</v>
      </c>
      <c r="D161" s="58"/>
      <c r="E161" s="34"/>
      <c r="F161" s="58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66"/>
    </row>
    <row r="162" spans="1:40" s="30" customFormat="1" x14ac:dyDescent="0.3">
      <c r="A162" s="11"/>
      <c r="B162" s="31"/>
      <c r="C162" s="32"/>
      <c r="D162" s="76"/>
      <c r="E162" s="76"/>
      <c r="F162" s="76"/>
      <c r="G162" s="7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66"/>
    </row>
    <row r="163" spans="1:40" s="30" customFormat="1" x14ac:dyDescent="0.3">
      <c r="A163" s="11"/>
      <c r="B163" s="54" t="s">
        <v>76</v>
      </c>
      <c r="C163" s="28"/>
      <c r="D163" s="65" t="s">
        <v>67</v>
      </c>
      <c r="E163" s="65" t="s">
        <v>68</v>
      </c>
      <c r="F163" s="65" t="s">
        <v>69</v>
      </c>
      <c r="G163" s="65" t="s">
        <v>70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66"/>
    </row>
    <row r="164" spans="1:40" s="30" customFormat="1" x14ac:dyDescent="0.3">
      <c r="A164" s="11"/>
      <c r="B164" s="31" t="s">
        <v>60</v>
      </c>
      <c r="C164" s="32" t="s">
        <v>14</v>
      </c>
      <c r="D164" s="58"/>
      <c r="E164" s="34"/>
      <c r="F164" s="58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66"/>
    </row>
    <row r="165" spans="1:40" s="30" customFormat="1" x14ac:dyDescent="0.3">
      <c r="A165" s="11"/>
      <c r="B165" s="31" t="s">
        <v>60</v>
      </c>
      <c r="C165" s="32" t="s">
        <v>15</v>
      </c>
      <c r="D165" s="58"/>
      <c r="E165" s="34"/>
      <c r="F165" s="58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66"/>
    </row>
    <row r="166" spans="1:40" s="30" customFormat="1" x14ac:dyDescent="0.3">
      <c r="A166" s="11"/>
      <c r="B166" s="31" t="s">
        <v>60</v>
      </c>
      <c r="C166" s="32" t="s">
        <v>12</v>
      </c>
      <c r="D166" s="58"/>
      <c r="E166" s="34"/>
      <c r="F166" s="58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66"/>
    </row>
    <row r="167" spans="1:40" s="30" customFormat="1" x14ac:dyDescent="0.3">
      <c r="A167" s="11"/>
      <c r="B167" s="31" t="s">
        <v>61</v>
      </c>
      <c r="C167" s="32" t="s">
        <v>10</v>
      </c>
      <c r="D167" s="58"/>
      <c r="E167" s="34"/>
      <c r="F167" s="58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66"/>
    </row>
    <row r="168" spans="1:40" s="30" customFormat="1" x14ac:dyDescent="0.3">
      <c r="A168" s="11"/>
      <c r="B168" s="31" t="s">
        <v>61</v>
      </c>
      <c r="C168" s="32" t="s">
        <v>57</v>
      </c>
      <c r="D168" s="58"/>
      <c r="E168" s="34"/>
      <c r="F168" s="58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66"/>
    </row>
    <row r="169" spans="1:40" s="30" customFormat="1" x14ac:dyDescent="0.3">
      <c r="A169" s="11"/>
      <c r="B169" s="31" t="s">
        <v>61</v>
      </c>
      <c r="C169" s="32" t="s">
        <v>11</v>
      </c>
      <c r="D169" s="58"/>
      <c r="E169" s="34"/>
      <c r="F169" s="58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66"/>
    </row>
    <row r="170" spans="1:40" s="30" customFormat="1" x14ac:dyDescent="0.3">
      <c r="A170" s="11"/>
      <c r="B170" s="31" t="s">
        <v>61</v>
      </c>
      <c r="C170" s="32" t="s">
        <v>9</v>
      </c>
      <c r="D170" s="58"/>
      <c r="E170" s="34"/>
      <c r="F170" s="58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66"/>
    </row>
    <row r="171" spans="1:40" s="30" customFormat="1" x14ac:dyDescent="0.3">
      <c r="A171" s="11"/>
      <c r="B171" s="31"/>
      <c r="C171" s="32"/>
      <c r="D171" s="76"/>
      <c r="E171" s="76"/>
      <c r="F171" s="76"/>
      <c r="G171" s="7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66"/>
    </row>
    <row r="172" spans="1:40" s="30" customFormat="1" x14ac:dyDescent="0.3">
      <c r="A172" s="11"/>
      <c r="B172" s="54" t="s">
        <v>77</v>
      </c>
      <c r="C172" s="28"/>
      <c r="D172" s="65" t="s">
        <v>67</v>
      </c>
      <c r="E172" s="65" t="s">
        <v>68</v>
      </c>
      <c r="F172" s="65" t="s">
        <v>69</v>
      </c>
      <c r="G172" s="65" t="s">
        <v>70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66"/>
    </row>
    <row r="173" spans="1:40" s="30" customFormat="1" x14ac:dyDescent="0.3">
      <c r="A173" s="11"/>
      <c r="B173" s="31" t="s">
        <v>60</v>
      </c>
      <c r="C173" s="32" t="s">
        <v>14</v>
      </c>
      <c r="D173" s="58"/>
      <c r="E173" s="34"/>
      <c r="F173" s="58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66"/>
    </row>
    <row r="174" spans="1:40" s="30" customFormat="1" x14ac:dyDescent="0.3">
      <c r="A174" s="11"/>
      <c r="B174" s="31" t="s">
        <v>60</v>
      </c>
      <c r="C174" s="32" t="s">
        <v>15</v>
      </c>
      <c r="D174" s="58"/>
      <c r="E174" s="34"/>
      <c r="F174" s="58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66"/>
    </row>
    <row r="175" spans="1:40" s="30" customFormat="1" x14ac:dyDescent="0.3">
      <c r="A175" s="11"/>
      <c r="B175" s="31" t="s">
        <v>60</v>
      </c>
      <c r="C175" s="32" t="s">
        <v>12</v>
      </c>
      <c r="D175" s="58"/>
      <c r="E175" s="34"/>
      <c r="F175" s="58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66"/>
    </row>
    <row r="176" spans="1:40" s="30" customFormat="1" x14ac:dyDescent="0.3">
      <c r="A176" s="11"/>
      <c r="B176" s="31" t="s">
        <v>61</v>
      </c>
      <c r="C176" s="32" t="s">
        <v>10</v>
      </c>
      <c r="D176" s="58"/>
      <c r="E176" s="34"/>
      <c r="F176" s="58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66"/>
    </row>
    <row r="177" spans="1:40" s="30" customFormat="1" x14ac:dyDescent="0.3">
      <c r="A177" s="11"/>
      <c r="B177" s="31" t="s">
        <v>61</v>
      </c>
      <c r="C177" s="32" t="s">
        <v>57</v>
      </c>
      <c r="D177" s="58"/>
      <c r="E177" s="34"/>
      <c r="F177" s="58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66"/>
    </row>
    <row r="178" spans="1:40" s="30" customFormat="1" x14ac:dyDescent="0.3">
      <c r="A178" s="11"/>
      <c r="B178" s="31" t="s">
        <v>61</v>
      </c>
      <c r="C178" s="32" t="s">
        <v>11</v>
      </c>
      <c r="D178" s="58"/>
      <c r="E178" s="34"/>
      <c r="F178" s="58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66"/>
    </row>
    <row r="179" spans="1:40" s="30" customFormat="1" x14ac:dyDescent="0.3">
      <c r="A179" s="11"/>
      <c r="B179" s="31" t="s">
        <v>61</v>
      </c>
      <c r="C179" s="32" t="s">
        <v>9</v>
      </c>
      <c r="D179" s="58"/>
      <c r="E179" s="34"/>
      <c r="F179" s="58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66"/>
    </row>
    <row r="180" spans="1:40" s="30" customFormat="1" x14ac:dyDescent="0.3">
      <c r="A180" s="11"/>
      <c r="B180" s="31"/>
      <c r="C180" s="32"/>
      <c r="D180" s="76"/>
      <c r="E180" s="77"/>
      <c r="F180" s="76"/>
      <c r="G180" s="7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66"/>
    </row>
    <row r="181" spans="1:40" s="30" customFormat="1" x14ac:dyDescent="0.3">
      <c r="A181" s="11"/>
      <c r="B181" s="54" t="s">
        <v>78</v>
      </c>
      <c r="C181" s="28"/>
      <c r="D181" s="65" t="s">
        <v>67</v>
      </c>
      <c r="E181" s="65" t="s">
        <v>68</v>
      </c>
      <c r="F181" s="65" t="s">
        <v>69</v>
      </c>
      <c r="G181" s="65" t="s">
        <v>70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66"/>
    </row>
    <row r="182" spans="1:40" s="30" customFormat="1" x14ac:dyDescent="0.3">
      <c r="A182" s="11"/>
      <c r="B182" s="31" t="s">
        <v>60</v>
      </c>
      <c r="C182" s="32" t="s">
        <v>14</v>
      </c>
      <c r="D182" s="58"/>
      <c r="E182" s="34"/>
      <c r="F182" s="58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66"/>
    </row>
    <row r="183" spans="1:40" s="30" customFormat="1" x14ac:dyDescent="0.3">
      <c r="A183" s="11"/>
      <c r="B183" s="31" t="s">
        <v>60</v>
      </c>
      <c r="C183" s="32" t="s">
        <v>15</v>
      </c>
      <c r="D183" s="58"/>
      <c r="E183" s="34"/>
      <c r="F183" s="58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66"/>
    </row>
    <row r="184" spans="1:40" s="30" customFormat="1" x14ac:dyDescent="0.3">
      <c r="A184" s="11"/>
      <c r="B184" s="31" t="s">
        <v>60</v>
      </c>
      <c r="C184" s="32" t="s">
        <v>12</v>
      </c>
      <c r="D184" s="58"/>
      <c r="E184" s="34"/>
      <c r="F184" s="58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66"/>
    </row>
    <row r="185" spans="1:40" s="30" customFormat="1" x14ac:dyDescent="0.3">
      <c r="A185" s="11"/>
      <c r="B185" s="31" t="s">
        <v>61</v>
      </c>
      <c r="C185" s="32" t="s">
        <v>10</v>
      </c>
      <c r="D185" s="58"/>
      <c r="E185" s="34"/>
      <c r="F185" s="58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66"/>
    </row>
    <row r="186" spans="1:40" s="30" customFormat="1" x14ac:dyDescent="0.3">
      <c r="A186" s="11"/>
      <c r="B186" s="31" t="s">
        <v>61</v>
      </c>
      <c r="C186" s="32" t="s">
        <v>57</v>
      </c>
      <c r="D186" s="58"/>
      <c r="E186" s="34"/>
      <c r="F186" s="58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66"/>
    </row>
    <row r="187" spans="1:40" s="30" customFormat="1" x14ac:dyDescent="0.3">
      <c r="A187" s="11"/>
      <c r="B187" s="31" t="s">
        <v>61</v>
      </c>
      <c r="C187" s="32" t="s">
        <v>11</v>
      </c>
      <c r="D187" s="58"/>
      <c r="E187" s="34"/>
      <c r="F187" s="58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66"/>
    </row>
    <row r="188" spans="1:40" s="30" customFormat="1" x14ac:dyDescent="0.3">
      <c r="A188" s="11"/>
      <c r="B188" s="31" t="s">
        <v>61</v>
      </c>
      <c r="C188" s="32" t="s">
        <v>9</v>
      </c>
      <c r="D188" s="58"/>
      <c r="E188" s="34"/>
      <c r="F188" s="58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66"/>
    </row>
    <row r="189" spans="1:40" s="30" customFormat="1" x14ac:dyDescent="0.3">
      <c r="A189" s="11"/>
      <c r="B189" s="31"/>
      <c r="C189" s="32"/>
      <c r="D189" s="76"/>
      <c r="E189" s="77"/>
      <c r="F189" s="76"/>
      <c r="G189" s="7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66"/>
    </row>
    <row r="190" spans="1:40" s="30" customFormat="1" x14ac:dyDescent="0.3">
      <c r="A190" s="11"/>
      <c r="B190" s="54" t="s">
        <v>79</v>
      </c>
      <c r="C190" s="28"/>
      <c r="D190" s="65" t="s">
        <v>67</v>
      </c>
      <c r="E190" s="65" t="s">
        <v>68</v>
      </c>
      <c r="F190" s="65" t="s">
        <v>69</v>
      </c>
      <c r="G190" s="65" t="s">
        <v>70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66"/>
    </row>
    <row r="191" spans="1:40" s="30" customFormat="1" x14ac:dyDescent="0.3">
      <c r="A191" s="11"/>
      <c r="B191" s="31" t="s">
        <v>60</v>
      </c>
      <c r="C191" s="32" t="s">
        <v>14</v>
      </c>
      <c r="D191" s="58"/>
      <c r="E191" s="34"/>
      <c r="F191" s="58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66"/>
    </row>
    <row r="192" spans="1:40" s="30" customFormat="1" x14ac:dyDescent="0.3">
      <c r="A192" s="11"/>
      <c r="B192" s="31" t="s">
        <v>60</v>
      </c>
      <c r="C192" s="32" t="s">
        <v>15</v>
      </c>
      <c r="D192" s="58"/>
      <c r="E192" s="34"/>
      <c r="F192" s="58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66"/>
    </row>
    <row r="193" spans="1:40" s="30" customFormat="1" x14ac:dyDescent="0.3">
      <c r="A193" s="11"/>
      <c r="B193" s="31" t="s">
        <v>60</v>
      </c>
      <c r="C193" s="32" t="s">
        <v>12</v>
      </c>
      <c r="D193" s="58"/>
      <c r="E193" s="34"/>
      <c r="F193" s="58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66"/>
    </row>
    <row r="194" spans="1:40" s="30" customFormat="1" x14ac:dyDescent="0.3">
      <c r="A194" s="11"/>
      <c r="B194" s="31" t="s">
        <v>61</v>
      </c>
      <c r="C194" s="32" t="s">
        <v>10</v>
      </c>
      <c r="D194" s="58"/>
      <c r="E194" s="34"/>
      <c r="F194" s="58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66"/>
    </row>
    <row r="195" spans="1:40" s="30" customFormat="1" x14ac:dyDescent="0.3">
      <c r="A195" s="11"/>
      <c r="B195" s="31" t="s">
        <v>61</v>
      </c>
      <c r="C195" s="32" t="s">
        <v>57</v>
      </c>
      <c r="D195" s="58"/>
      <c r="E195" s="34"/>
      <c r="F195" s="58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66"/>
    </row>
    <row r="196" spans="1:40" s="30" customFormat="1" x14ac:dyDescent="0.3">
      <c r="A196" s="11"/>
      <c r="B196" s="31" t="s">
        <v>61</v>
      </c>
      <c r="C196" s="32" t="s">
        <v>11</v>
      </c>
      <c r="D196" s="58"/>
      <c r="E196" s="34"/>
      <c r="F196" s="58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66"/>
    </row>
    <row r="197" spans="1:40" s="30" customFormat="1" x14ac:dyDescent="0.3">
      <c r="A197" s="11"/>
      <c r="B197" s="31" t="s">
        <v>61</v>
      </c>
      <c r="C197" s="32" t="s">
        <v>9</v>
      </c>
      <c r="D197" s="58"/>
      <c r="E197" s="34"/>
      <c r="F197" s="58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66"/>
    </row>
    <row r="198" spans="1:40" s="30" customFormat="1" x14ac:dyDescent="0.3">
      <c r="A198" s="11"/>
      <c r="B198" s="31"/>
      <c r="C198" s="32"/>
      <c r="D198" s="76"/>
      <c r="E198" s="77"/>
      <c r="F198" s="76"/>
      <c r="G198" s="7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66"/>
    </row>
    <row r="199" spans="1:40" s="30" customFormat="1" x14ac:dyDescent="0.3">
      <c r="A199" s="11"/>
      <c r="B199" s="54" t="s">
        <v>80</v>
      </c>
      <c r="C199" s="28"/>
      <c r="D199" s="65" t="s">
        <v>67</v>
      </c>
      <c r="E199" s="65" t="s">
        <v>68</v>
      </c>
      <c r="F199" s="65" t="s">
        <v>69</v>
      </c>
      <c r="G199" s="65" t="s">
        <v>70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66"/>
    </row>
    <row r="200" spans="1:40" s="30" customFormat="1" x14ac:dyDescent="0.3">
      <c r="A200" s="11"/>
      <c r="B200" s="31" t="s">
        <v>60</v>
      </c>
      <c r="C200" s="32" t="s">
        <v>14</v>
      </c>
      <c r="D200" s="58"/>
      <c r="E200" s="34"/>
      <c r="F200" s="58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66"/>
    </row>
    <row r="201" spans="1:40" s="30" customFormat="1" x14ac:dyDescent="0.3">
      <c r="A201" s="11"/>
      <c r="B201" s="31" t="s">
        <v>60</v>
      </c>
      <c r="C201" s="32" t="s">
        <v>15</v>
      </c>
      <c r="D201" s="58"/>
      <c r="E201" s="34"/>
      <c r="F201" s="58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66"/>
    </row>
    <row r="202" spans="1:40" s="30" customFormat="1" x14ac:dyDescent="0.3">
      <c r="A202" s="11"/>
      <c r="B202" s="31" t="s">
        <v>60</v>
      </c>
      <c r="C202" s="32" t="s">
        <v>12</v>
      </c>
      <c r="D202" s="58"/>
      <c r="E202" s="34"/>
      <c r="F202" s="58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66"/>
    </row>
    <row r="203" spans="1:40" s="30" customFormat="1" x14ac:dyDescent="0.3">
      <c r="A203" s="11"/>
      <c r="B203" s="31" t="s">
        <v>61</v>
      </c>
      <c r="C203" s="32" t="s">
        <v>10</v>
      </c>
      <c r="D203" s="58"/>
      <c r="E203" s="34"/>
      <c r="F203" s="58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66"/>
    </row>
    <row r="204" spans="1:40" s="30" customFormat="1" x14ac:dyDescent="0.3">
      <c r="A204" s="11"/>
      <c r="B204" s="31" t="s">
        <v>61</v>
      </c>
      <c r="C204" s="32" t="s">
        <v>57</v>
      </c>
      <c r="D204" s="58"/>
      <c r="E204" s="34"/>
      <c r="F204" s="58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66"/>
    </row>
    <row r="205" spans="1:40" s="30" customFormat="1" x14ac:dyDescent="0.3">
      <c r="A205" s="11"/>
      <c r="B205" s="31" t="s">
        <v>61</v>
      </c>
      <c r="C205" s="32" t="s">
        <v>11</v>
      </c>
      <c r="D205" s="58"/>
      <c r="E205" s="34"/>
      <c r="F205" s="58"/>
      <c r="G205" s="3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66"/>
    </row>
    <row r="206" spans="1:40" s="30" customFormat="1" x14ac:dyDescent="0.3">
      <c r="A206" s="11"/>
      <c r="B206" s="31" t="s">
        <v>61</v>
      </c>
      <c r="C206" s="32" t="s">
        <v>9</v>
      </c>
      <c r="D206" s="58"/>
      <c r="E206" s="34"/>
      <c r="F206" s="58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66"/>
    </row>
    <row r="207" spans="1:40" s="30" customFormat="1" x14ac:dyDescent="0.3">
      <c r="A207" s="11"/>
      <c r="B207" s="75"/>
      <c r="C207" s="32"/>
      <c r="D207" s="76"/>
      <c r="E207" s="77"/>
      <c r="F207" s="76"/>
      <c r="G207" s="7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66"/>
    </row>
    <row r="208" spans="1:40" s="28" customFormat="1" x14ac:dyDescent="0.3">
      <c r="A208" s="11"/>
      <c r="B208" s="35" t="s">
        <v>71</v>
      </c>
      <c r="D208" s="65" t="s">
        <v>67</v>
      </c>
      <c r="E208" s="65" t="s">
        <v>68</v>
      </c>
      <c r="F208" s="65" t="s">
        <v>69</v>
      </c>
      <c r="G208" s="65" t="s">
        <v>70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67"/>
    </row>
    <row r="209" spans="1:40" s="30" customFormat="1" x14ac:dyDescent="0.3">
      <c r="A209" s="11"/>
      <c r="B209" s="37" t="s">
        <v>16</v>
      </c>
      <c r="C209" s="38" t="s">
        <v>17</v>
      </c>
      <c r="D209" s="59">
        <v>14</v>
      </c>
      <c r="E209" s="39">
        <v>63</v>
      </c>
      <c r="F209" s="59">
        <v>677</v>
      </c>
      <c r="G209" s="39">
        <v>37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66"/>
    </row>
    <row r="210" spans="1:40" s="30" customFormat="1" x14ac:dyDescent="0.3">
      <c r="A210" s="11"/>
      <c r="B210" s="37" t="s">
        <v>16</v>
      </c>
      <c r="C210" s="38" t="s">
        <v>18</v>
      </c>
      <c r="D210" s="59">
        <v>16</v>
      </c>
      <c r="E210" s="39">
        <v>57</v>
      </c>
      <c r="F210" s="59">
        <v>668</v>
      </c>
      <c r="G210" s="39">
        <v>29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66"/>
    </row>
    <row r="211" spans="1:40" s="30" customFormat="1" x14ac:dyDescent="0.3">
      <c r="A211" s="11"/>
      <c r="B211" s="37" t="s">
        <v>16</v>
      </c>
      <c r="C211" s="38" t="s">
        <v>19</v>
      </c>
      <c r="D211" s="59">
        <v>1</v>
      </c>
      <c r="E211" s="39">
        <v>44</v>
      </c>
      <c r="F211" s="59">
        <v>711</v>
      </c>
      <c r="G211" s="39">
        <v>15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66"/>
    </row>
    <row r="212" spans="1:40" s="30" customFormat="1" x14ac:dyDescent="0.3">
      <c r="A212" s="11"/>
      <c r="B212" s="37" t="s">
        <v>16</v>
      </c>
      <c r="C212" s="38" t="s">
        <v>20</v>
      </c>
      <c r="D212" s="59">
        <v>4</v>
      </c>
      <c r="E212" s="39">
        <v>34</v>
      </c>
      <c r="F212" s="59">
        <v>388</v>
      </c>
      <c r="G212" s="39">
        <v>69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66"/>
    </row>
    <row r="213" spans="1:40" s="30" customFormat="1" x14ac:dyDescent="0.3">
      <c r="A213" s="11"/>
      <c r="B213" s="72"/>
      <c r="C213" s="38"/>
      <c r="D213" s="93">
        <f>SUM(D209:D212)</f>
        <v>35</v>
      </c>
      <c r="E213" s="93">
        <f t="shared" ref="E213:G213" si="150">SUM(E209:E212)</f>
        <v>198</v>
      </c>
      <c r="F213" s="93">
        <f t="shared" si="150"/>
        <v>2444</v>
      </c>
      <c r="G213" s="93">
        <f t="shared" si="150"/>
        <v>150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66"/>
    </row>
    <row r="214" spans="1:40" s="30" customFormat="1" x14ac:dyDescent="0.3">
      <c r="A214" s="11"/>
      <c r="B214" s="72"/>
      <c r="C214" s="38"/>
      <c r="D214" s="73"/>
      <c r="E214" s="74"/>
      <c r="F214" s="73"/>
      <c r="G214" s="7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66"/>
    </row>
    <row r="215" spans="1:40" s="30" customFormat="1" x14ac:dyDescent="0.3">
      <c r="A215" s="11"/>
      <c r="B215" s="72"/>
      <c r="C215" s="38"/>
      <c r="D215" s="73"/>
      <c r="E215" s="73"/>
      <c r="F215" s="73"/>
      <c r="G215" s="7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66"/>
    </row>
    <row r="216" spans="1:40" s="30" customFormat="1" x14ac:dyDescent="0.3">
      <c r="A216" s="11"/>
      <c r="B216" s="35" t="s">
        <v>72</v>
      </c>
      <c r="C216" s="28"/>
      <c r="D216" s="65" t="s">
        <v>67</v>
      </c>
      <c r="E216" s="65" t="s">
        <v>68</v>
      </c>
      <c r="F216" s="65" t="s">
        <v>69</v>
      </c>
      <c r="G216" s="65" t="s">
        <v>70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66"/>
    </row>
    <row r="217" spans="1:40" s="30" customFormat="1" x14ac:dyDescent="0.3">
      <c r="A217" s="11"/>
      <c r="B217" s="37" t="s">
        <v>16</v>
      </c>
      <c r="C217" s="38" t="s">
        <v>17</v>
      </c>
      <c r="D217" s="59"/>
      <c r="E217" s="39"/>
      <c r="F217" s="59"/>
      <c r="G217" s="39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66"/>
    </row>
    <row r="218" spans="1:40" s="30" customFormat="1" x14ac:dyDescent="0.3">
      <c r="A218" s="11"/>
      <c r="B218" s="37" t="s">
        <v>16</v>
      </c>
      <c r="C218" s="38" t="s">
        <v>18</v>
      </c>
      <c r="D218" s="59"/>
      <c r="E218" s="39"/>
      <c r="F218" s="59"/>
      <c r="G218" s="3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66"/>
    </row>
    <row r="219" spans="1:40" s="30" customFormat="1" x14ac:dyDescent="0.3">
      <c r="A219" s="11"/>
      <c r="B219" s="37" t="s">
        <v>16</v>
      </c>
      <c r="C219" s="38" t="s">
        <v>19</v>
      </c>
      <c r="D219" s="59"/>
      <c r="E219" s="39"/>
      <c r="F219" s="59"/>
      <c r="G219" s="3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66"/>
    </row>
    <row r="220" spans="1:40" s="30" customFormat="1" x14ac:dyDescent="0.3">
      <c r="A220" s="11"/>
      <c r="B220" s="37" t="s">
        <v>16</v>
      </c>
      <c r="C220" s="38" t="s">
        <v>20</v>
      </c>
      <c r="D220" s="59"/>
      <c r="E220" s="39"/>
      <c r="F220" s="59"/>
      <c r="G220" s="3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66"/>
    </row>
    <row r="221" spans="1:40" s="30" customFormat="1" x14ac:dyDescent="0.3">
      <c r="A221" s="11"/>
      <c r="B221" s="72"/>
      <c r="C221" s="38"/>
      <c r="D221" s="93"/>
      <c r="E221" s="93"/>
      <c r="F221" s="93"/>
      <c r="G221" s="9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66"/>
    </row>
    <row r="222" spans="1:40" s="30" customFormat="1" x14ac:dyDescent="0.3">
      <c r="A222" s="11"/>
      <c r="B222" s="72"/>
      <c r="C222" s="38"/>
      <c r="D222" s="73"/>
      <c r="E222" s="74"/>
      <c r="F222" s="73"/>
      <c r="G222" s="7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66"/>
    </row>
    <row r="223" spans="1:40" s="30" customFormat="1" x14ac:dyDescent="0.3">
      <c r="A223" s="11"/>
      <c r="B223" s="72"/>
      <c r="C223" s="38"/>
      <c r="D223" s="73"/>
      <c r="E223" s="74"/>
      <c r="F223" s="73"/>
      <c r="G223" s="7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66"/>
    </row>
    <row r="224" spans="1:40" s="30" customFormat="1" x14ac:dyDescent="0.3">
      <c r="A224" s="11"/>
      <c r="B224" s="35" t="s">
        <v>73</v>
      </c>
      <c r="C224" s="28"/>
      <c r="D224" s="65" t="s">
        <v>67</v>
      </c>
      <c r="E224" s="65" t="s">
        <v>68</v>
      </c>
      <c r="F224" s="65" t="s">
        <v>69</v>
      </c>
      <c r="G224" s="65" t="s">
        <v>70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66"/>
    </row>
    <row r="225" spans="1:40" s="30" customFormat="1" x14ac:dyDescent="0.3">
      <c r="A225" s="11"/>
      <c r="B225" s="37" t="s">
        <v>16</v>
      </c>
      <c r="C225" s="38" t="s">
        <v>17</v>
      </c>
      <c r="D225" s="59"/>
      <c r="E225" s="39"/>
      <c r="F225" s="59"/>
      <c r="G225" s="39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66"/>
    </row>
    <row r="226" spans="1:40" s="30" customFormat="1" x14ac:dyDescent="0.3">
      <c r="A226" s="11"/>
      <c r="B226" s="37" t="s">
        <v>16</v>
      </c>
      <c r="C226" s="38" t="s">
        <v>18</v>
      </c>
      <c r="D226" s="59"/>
      <c r="E226" s="39"/>
      <c r="F226" s="59"/>
      <c r="G226" s="39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66"/>
    </row>
    <row r="227" spans="1:40" s="30" customFormat="1" x14ac:dyDescent="0.3">
      <c r="A227" s="11"/>
      <c r="B227" s="37" t="s">
        <v>16</v>
      </c>
      <c r="C227" s="38" t="s">
        <v>19</v>
      </c>
      <c r="D227" s="59"/>
      <c r="E227" s="39"/>
      <c r="F227" s="59"/>
      <c r="G227" s="39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66"/>
    </row>
    <row r="228" spans="1:40" s="30" customFormat="1" x14ac:dyDescent="0.3">
      <c r="A228" s="11"/>
      <c r="B228" s="37" t="s">
        <v>16</v>
      </c>
      <c r="C228" s="38" t="s">
        <v>20</v>
      </c>
      <c r="D228" s="59"/>
      <c r="E228" s="39"/>
      <c r="F228" s="59"/>
      <c r="G228" s="39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66"/>
    </row>
    <row r="229" spans="1:40" s="30" customFormat="1" x14ac:dyDescent="0.3">
      <c r="A229" s="11"/>
      <c r="B229" s="72"/>
      <c r="C229" s="38"/>
      <c r="D229" s="93"/>
      <c r="E229" s="93"/>
      <c r="F229" s="93"/>
      <c r="G229" s="9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66"/>
    </row>
    <row r="230" spans="1:40" s="30" customFormat="1" x14ac:dyDescent="0.3">
      <c r="A230" s="11"/>
      <c r="B230" s="72"/>
      <c r="C230" s="38"/>
      <c r="D230" s="73"/>
      <c r="E230" s="74"/>
      <c r="F230" s="73"/>
      <c r="G230" s="7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66"/>
    </row>
    <row r="231" spans="1:40" s="30" customFormat="1" x14ac:dyDescent="0.3">
      <c r="A231" s="11"/>
      <c r="B231" s="72"/>
      <c r="C231" s="38"/>
      <c r="D231" s="73"/>
      <c r="E231" s="74"/>
      <c r="F231" s="73"/>
      <c r="G231" s="7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66"/>
    </row>
    <row r="232" spans="1:40" s="30" customFormat="1" x14ac:dyDescent="0.3">
      <c r="A232" s="11"/>
      <c r="B232" s="35" t="s">
        <v>81</v>
      </c>
      <c r="C232" s="28"/>
      <c r="D232" s="65" t="s">
        <v>67</v>
      </c>
      <c r="E232" s="65" t="s">
        <v>68</v>
      </c>
      <c r="F232" s="65" t="s">
        <v>69</v>
      </c>
      <c r="G232" s="65" t="s">
        <v>70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66"/>
    </row>
    <row r="233" spans="1:40" s="30" customFormat="1" x14ac:dyDescent="0.3">
      <c r="A233" s="11"/>
      <c r="B233" s="37" t="s">
        <v>16</v>
      </c>
      <c r="C233" s="38" t="s">
        <v>17</v>
      </c>
      <c r="D233" s="59"/>
      <c r="E233" s="39"/>
      <c r="F233" s="59"/>
      <c r="G233" s="3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66"/>
    </row>
    <row r="234" spans="1:40" s="30" customFormat="1" x14ac:dyDescent="0.3">
      <c r="A234" s="11"/>
      <c r="B234" s="37" t="s">
        <v>16</v>
      </c>
      <c r="C234" s="38" t="s">
        <v>18</v>
      </c>
      <c r="D234" s="59"/>
      <c r="E234" s="39"/>
      <c r="F234" s="59"/>
      <c r="G234" s="39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66"/>
    </row>
    <row r="235" spans="1:40" s="30" customFormat="1" x14ac:dyDescent="0.3">
      <c r="A235" s="11"/>
      <c r="B235" s="37" t="s">
        <v>16</v>
      </c>
      <c r="C235" s="38" t="s">
        <v>19</v>
      </c>
      <c r="D235" s="59"/>
      <c r="E235" s="39"/>
      <c r="F235" s="59"/>
      <c r="G235" s="39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66"/>
    </row>
    <row r="236" spans="1:40" s="30" customFormat="1" x14ac:dyDescent="0.3">
      <c r="A236" s="11"/>
      <c r="B236" s="37" t="s">
        <v>16</v>
      </c>
      <c r="C236" s="38" t="s">
        <v>20</v>
      </c>
      <c r="D236" s="59"/>
      <c r="E236" s="39"/>
      <c r="F236" s="59"/>
      <c r="G236" s="39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66"/>
    </row>
    <row r="237" spans="1:40" s="30" customFormat="1" x14ac:dyDescent="0.3">
      <c r="A237" s="11"/>
      <c r="B237" s="72"/>
      <c r="C237" s="38"/>
      <c r="D237" s="93"/>
      <c r="E237" s="93"/>
      <c r="F237" s="93"/>
      <c r="G237" s="9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66"/>
    </row>
    <row r="238" spans="1:40" s="30" customFormat="1" x14ac:dyDescent="0.3">
      <c r="A238" s="11"/>
      <c r="B238" s="72"/>
      <c r="C238" s="38"/>
      <c r="D238" s="93"/>
      <c r="E238" s="74"/>
      <c r="F238" s="73"/>
      <c r="G238" s="7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66"/>
    </row>
    <row r="239" spans="1:40" s="30" customFormat="1" x14ac:dyDescent="0.3">
      <c r="A239" s="11"/>
      <c r="B239" s="72"/>
      <c r="C239" s="38"/>
      <c r="D239" s="73"/>
      <c r="E239" s="74"/>
      <c r="F239" s="73"/>
      <c r="G239" s="7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66"/>
    </row>
    <row r="240" spans="1:40" s="30" customFormat="1" x14ac:dyDescent="0.3">
      <c r="A240" s="11"/>
      <c r="B240" s="35" t="s">
        <v>82</v>
      </c>
      <c r="C240" s="28"/>
      <c r="D240" s="65" t="s">
        <v>67</v>
      </c>
      <c r="E240" s="65" t="s">
        <v>68</v>
      </c>
      <c r="F240" s="65" t="s">
        <v>69</v>
      </c>
      <c r="G240" s="65" t="s">
        <v>70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66"/>
    </row>
    <row r="241" spans="1:40" s="30" customFormat="1" x14ac:dyDescent="0.3">
      <c r="A241" s="11"/>
      <c r="B241" s="37" t="s">
        <v>16</v>
      </c>
      <c r="C241" s="38" t="s">
        <v>17</v>
      </c>
      <c r="D241" s="59"/>
      <c r="E241" s="39"/>
      <c r="F241" s="59"/>
      <c r="G241" s="39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66"/>
    </row>
    <row r="242" spans="1:40" s="30" customFormat="1" x14ac:dyDescent="0.3">
      <c r="A242" s="11"/>
      <c r="B242" s="37" t="s">
        <v>16</v>
      </c>
      <c r="C242" s="38" t="s">
        <v>18</v>
      </c>
      <c r="D242" s="59"/>
      <c r="E242" s="39"/>
      <c r="F242" s="59"/>
      <c r="G242" s="39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66"/>
    </row>
    <row r="243" spans="1:40" s="30" customFormat="1" x14ac:dyDescent="0.3">
      <c r="A243" s="11"/>
      <c r="B243" s="37" t="s">
        <v>16</v>
      </c>
      <c r="C243" s="38" t="s">
        <v>19</v>
      </c>
      <c r="D243" s="59"/>
      <c r="E243" s="39"/>
      <c r="F243" s="59"/>
      <c r="G243" s="39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66"/>
    </row>
    <row r="244" spans="1:40" s="30" customFormat="1" x14ac:dyDescent="0.3">
      <c r="A244" s="11"/>
      <c r="B244" s="37" t="s">
        <v>16</v>
      </c>
      <c r="C244" s="38" t="s">
        <v>20</v>
      </c>
      <c r="D244" s="59"/>
      <c r="E244" s="39"/>
      <c r="F244" s="59"/>
      <c r="G244" s="39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66"/>
    </row>
    <row r="245" spans="1:40" s="30" customFormat="1" x14ac:dyDescent="0.3">
      <c r="A245" s="11"/>
      <c r="B245" s="72"/>
      <c r="C245" s="38"/>
      <c r="D245" s="93"/>
      <c r="E245" s="93"/>
      <c r="F245" s="93"/>
      <c r="G245" s="9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66"/>
    </row>
    <row r="246" spans="1:40" s="30" customFormat="1" x14ac:dyDescent="0.3">
      <c r="A246" s="11"/>
      <c r="B246" s="72"/>
      <c r="C246" s="38"/>
      <c r="D246" s="73"/>
      <c r="E246" s="74"/>
      <c r="F246" s="73"/>
      <c r="G246" s="7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66"/>
    </row>
    <row r="247" spans="1:40" s="30" customFormat="1" x14ac:dyDescent="0.3">
      <c r="A247" s="11"/>
      <c r="B247" s="72"/>
      <c r="C247" s="38"/>
      <c r="D247" s="73"/>
      <c r="E247" s="74"/>
      <c r="F247" s="73"/>
      <c r="G247" s="7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66"/>
    </row>
    <row r="248" spans="1:40" s="30" customFormat="1" x14ac:dyDescent="0.3">
      <c r="A248" s="11"/>
      <c r="B248" s="35" t="s">
        <v>74</v>
      </c>
      <c r="C248" s="28"/>
      <c r="D248" s="65" t="s">
        <v>67</v>
      </c>
      <c r="E248" s="65" t="s">
        <v>68</v>
      </c>
      <c r="F248" s="65" t="s">
        <v>69</v>
      </c>
      <c r="G248" s="65" t="s">
        <v>70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66"/>
    </row>
    <row r="249" spans="1:40" s="30" customFormat="1" x14ac:dyDescent="0.3">
      <c r="A249" s="11"/>
      <c r="B249" s="37" t="s">
        <v>16</v>
      </c>
      <c r="C249" s="38" t="s">
        <v>17</v>
      </c>
      <c r="D249" s="59"/>
      <c r="E249" s="39"/>
      <c r="F249" s="59"/>
      <c r="G249" s="39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66"/>
    </row>
    <row r="250" spans="1:40" s="30" customFormat="1" x14ac:dyDescent="0.3">
      <c r="A250" s="11"/>
      <c r="B250" s="37" t="s">
        <v>16</v>
      </c>
      <c r="C250" s="38" t="s">
        <v>18</v>
      </c>
      <c r="D250" s="59"/>
      <c r="E250" s="39"/>
      <c r="F250" s="59"/>
      <c r="G250" s="39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66"/>
    </row>
    <row r="251" spans="1:40" s="30" customFormat="1" x14ac:dyDescent="0.3">
      <c r="A251" s="11"/>
      <c r="B251" s="37" t="s">
        <v>16</v>
      </c>
      <c r="C251" s="38" t="s">
        <v>19</v>
      </c>
      <c r="D251" s="59"/>
      <c r="E251" s="39"/>
      <c r="F251" s="59"/>
      <c r="G251" s="39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66"/>
    </row>
    <row r="252" spans="1:40" s="30" customFormat="1" x14ac:dyDescent="0.3">
      <c r="A252" s="11"/>
      <c r="B252" s="37" t="s">
        <v>16</v>
      </c>
      <c r="C252" s="38" t="s">
        <v>20</v>
      </c>
      <c r="D252" s="59"/>
      <c r="E252" s="39"/>
      <c r="F252" s="59"/>
      <c r="G252" s="39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66"/>
    </row>
    <row r="253" spans="1:40" s="30" customFormat="1" x14ac:dyDescent="0.3">
      <c r="A253" s="11"/>
      <c r="B253" s="72"/>
      <c r="C253" s="38"/>
      <c r="D253" s="93"/>
      <c r="E253" s="93"/>
      <c r="F253" s="93"/>
      <c r="G253" s="9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66"/>
    </row>
    <row r="254" spans="1:40" s="30" customFormat="1" x14ac:dyDescent="0.3">
      <c r="A254" s="11"/>
      <c r="B254" s="72"/>
      <c r="C254" s="38"/>
      <c r="D254" s="73"/>
      <c r="E254" s="74"/>
      <c r="F254" s="73"/>
      <c r="G254" s="7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66"/>
    </row>
    <row r="255" spans="1:40" s="30" customFormat="1" x14ac:dyDescent="0.3">
      <c r="A255" s="11"/>
      <c r="B255" s="72"/>
      <c r="C255" s="38"/>
      <c r="D255" s="73"/>
      <c r="E255" s="74"/>
      <c r="F255" s="73"/>
      <c r="G255" s="7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66"/>
    </row>
    <row r="256" spans="1:40" s="30" customFormat="1" x14ac:dyDescent="0.3">
      <c r="A256" s="11"/>
      <c r="B256" s="35" t="s">
        <v>75</v>
      </c>
      <c r="C256" s="28"/>
      <c r="D256" s="65" t="s">
        <v>67</v>
      </c>
      <c r="E256" s="65" t="s">
        <v>68</v>
      </c>
      <c r="F256" s="65" t="s">
        <v>69</v>
      </c>
      <c r="G256" s="65" t="s">
        <v>70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66"/>
    </row>
    <row r="257" spans="1:40" s="30" customFormat="1" x14ac:dyDescent="0.3">
      <c r="A257" s="11"/>
      <c r="B257" s="37" t="s">
        <v>16</v>
      </c>
      <c r="C257" s="38" t="s">
        <v>17</v>
      </c>
      <c r="D257" s="59"/>
      <c r="E257" s="39"/>
      <c r="F257" s="59"/>
      <c r="G257" s="39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66"/>
    </row>
    <row r="258" spans="1:40" s="30" customFormat="1" x14ac:dyDescent="0.3">
      <c r="A258" s="11"/>
      <c r="B258" s="37" t="s">
        <v>16</v>
      </c>
      <c r="C258" s="38" t="s">
        <v>18</v>
      </c>
      <c r="D258" s="59"/>
      <c r="E258" s="39"/>
      <c r="F258" s="59"/>
      <c r="G258" s="39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66"/>
    </row>
    <row r="259" spans="1:40" s="30" customFormat="1" x14ac:dyDescent="0.3">
      <c r="A259" s="11"/>
      <c r="B259" s="37" t="s">
        <v>16</v>
      </c>
      <c r="C259" s="38" t="s">
        <v>19</v>
      </c>
      <c r="D259" s="59"/>
      <c r="E259" s="39"/>
      <c r="F259" s="59"/>
      <c r="G259" s="39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66"/>
    </row>
    <row r="260" spans="1:40" s="30" customFormat="1" x14ac:dyDescent="0.3">
      <c r="A260" s="11"/>
      <c r="B260" s="37" t="s">
        <v>16</v>
      </c>
      <c r="C260" s="38" t="s">
        <v>20</v>
      </c>
      <c r="D260" s="59"/>
      <c r="E260" s="39"/>
      <c r="F260" s="59"/>
      <c r="G260" s="39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66"/>
    </row>
    <row r="261" spans="1:40" s="30" customFormat="1" x14ac:dyDescent="0.3">
      <c r="A261" s="11"/>
      <c r="B261" s="72"/>
      <c r="C261" s="38"/>
      <c r="D261" s="93"/>
      <c r="E261" s="93"/>
      <c r="F261" s="93"/>
      <c r="G261" s="9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66"/>
    </row>
    <row r="262" spans="1:40" s="30" customFormat="1" x14ac:dyDescent="0.3">
      <c r="A262" s="11"/>
      <c r="B262" s="72"/>
      <c r="C262" s="38"/>
      <c r="D262" s="73"/>
      <c r="E262" s="74"/>
      <c r="F262" s="73"/>
      <c r="G262" s="7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66"/>
    </row>
    <row r="263" spans="1:40" s="30" customFormat="1" x14ac:dyDescent="0.3">
      <c r="A263" s="11"/>
      <c r="B263" s="72"/>
      <c r="C263" s="38"/>
      <c r="D263" s="73"/>
      <c r="E263" s="74"/>
      <c r="F263" s="73"/>
      <c r="G263" s="7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66"/>
    </row>
    <row r="264" spans="1:40" s="30" customFormat="1" x14ac:dyDescent="0.3">
      <c r="A264" s="11"/>
      <c r="B264" s="35" t="s">
        <v>76</v>
      </c>
      <c r="C264" s="28"/>
      <c r="D264" s="65" t="s">
        <v>67</v>
      </c>
      <c r="E264" s="65" t="s">
        <v>68</v>
      </c>
      <c r="F264" s="65" t="s">
        <v>69</v>
      </c>
      <c r="G264" s="65" t="s">
        <v>70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66"/>
    </row>
    <row r="265" spans="1:40" s="30" customFormat="1" x14ac:dyDescent="0.3">
      <c r="A265" s="11"/>
      <c r="B265" s="37" t="s">
        <v>16</v>
      </c>
      <c r="C265" s="38" t="s">
        <v>17</v>
      </c>
      <c r="D265" s="59"/>
      <c r="E265" s="39"/>
      <c r="F265" s="59"/>
      <c r="G265" s="39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66"/>
    </row>
    <row r="266" spans="1:40" s="30" customFormat="1" x14ac:dyDescent="0.3">
      <c r="A266" s="11"/>
      <c r="B266" s="37" t="s">
        <v>16</v>
      </c>
      <c r="C266" s="38" t="s">
        <v>18</v>
      </c>
      <c r="D266" s="59"/>
      <c r="E266" s="39"/>
      <c r="F266" s="59"/>
      <c r="G266" s="39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66"/>
    </row>
    <row r="267" spans="1:40" s="30" customFormat="1" x14ac:dyDescent="0.3">
      <c r="A267" s="11"/>
      <c r="B267" s="37" t="s">
        <v>16</v>
      </c>
      <c r="C267" s="38" t="s">
        <v>19</v>
      </c>
      <c r="D267" s="59"/>
      <c r="E267" s="39"/>
      <c r="F267" s="59"/>
      <c r="G267" s="39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66"/>
    </row>
    <row r="268" spans="1:40" s="30" customFormat="1" x14ac:dyDescent="0.3">
      <c r="A268" s="11"/>
      <c r="B268" s="37" t="s">
        <v>16</v>
      </c>
      <c r="C268" s="38" t="s">
        <v>20</v>
      </c>
      <c r="D268" s="59"/>
      <c r="E268" s="39"/>
      <c r="F268" s="59"/>
      <c r="G268" s="39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66"/>
    </row>
    <row r="269" spans="1:40" s="30" customFormat="1" x14ac:dyDescent="0.3">
      <c r="A269" s="11"/>
      <c r="B269" s="72"/>
      <c r="C269" s="38"/>
      <c r="D269" s="93"/>
      <c r="E269" s="93"/>
      <c r="F269" s="93"/>
      <c r="G269" s="9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66"/>
    </row>
    <row r="270" spans="1:40" s="30" customFormat="1" x14ac:dyDescent="0.3">
      <c r="A270" s="11"/>
      <c r="B270" s="72"/>
      <c r="C270" s="38"/>
      <c r="D270" s="73"/>
      <c r="E270" s="74"/>
      <c r="F270" s="73"/>
      <c r="G270" s="7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66"/>
    </row>
    <row r="271" spans="1:40" s="30" customFormat="1" x14ac:dyDescent="0.3">
      <c r="A271" s="11"/>
      <c r="B271" s="72"/>
      <c r="C271" s="38"/>
      <c r="D271" s="73"/>
      <c r="E271" s="74"/>
      <c r="F271" s="73"/>
      <c r="G271" s="7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66"/>
    </row>
    <row r="272" spans="1:40" s="30" customFormat="1" x14ac:dyDescent="0.3">
      <c r="A272" s="11"/>
      <c r="B272" s="35" t="s">
        <v>77</v>
      </c>
      <c r="C272" s="28"/>
      <c r="D272" s="65" t="s">
        <v>67</v>
      </c>
      <c r="E272" s="65" t="s">
        <v>68</v>
      </c>
      <c r="F272" s="65" t="s">
        <v>69</v>
      </c>
      <c r="G272" s="65" t="s">
        <v>70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66"/>
    </row>
    <row r="273" spans="1:40" s="30" customFormat="1" x14ac:dyDescent="0.3">
      <c r="A273" s="11"/>
      <c r="B273" s="37" t="s">
        <v>16</v>
      </c>
      <c r="C273" s="38" t="s">
        <v>17</v>
      </c>
      <c r="D273" s="59"/>
      <c r="E273" s="39"/>
      <c r="F273" s="59"/>
      <c r="G273" s="39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66"/>
    </row>
    <row r="274" spans="1:40" s="30" customFormat="1" x14ac:dyDescent="0.3">
      <c r="A274" s="11"/>
      <c r="B274" s="37" t="s">
        <v>16</v>
      </c>
      <c r="C274" s="38" t="s">
        <v>18</v>
      </c>
      <c r="D274" s="59"/>
      <c r="E274" s="39"/>
      <c r="F274" s="59"/>
      <c r="G274" s="39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66"/>
    </row>
    <row r="275" spans="1:40" s="30" customFormat="1" x14ac:dyDescent="0.3">
      <c r="A275" s="11"/>
      <c r="B275" s="37" t="s">
        <v>16</v>
      </c>
      <c r="C275" s="38" t="s">
        <v>19</v>
      </c>
      <c r="D275" s="59"/>
      <c r="E275" s="39"/>
      <c r="F275" s="59"/>
      <c r="G275" s="39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66"/>
    </row>
    <row r="276" spans="1:40" s="30" customFormat="1" x14ac:dyDescent="0.3">
      <c r="A276" s="11"/>
      <c r="B276" s="37" t="s">
        <v>16</v>
      </c>
      <c r="C276" s="38" t="s">
        <v>20</v>
      </c>
      <c r="D276" s="59"/>
      <c r="E276" s="39"/>
      <c r="F276" s="59"/>
      <c r="G276" s="39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66"/>
    </row>
    <row r="277" spans="1:40" s="30" customFormat="1" x14ac:dyDescent="0.3">
      <c r="A277" s="11"/>
      <c r="B277" s="72"/>
      <c r="C277" s="38"/>
      <c r="D277" s="73"/>
      <c r="E277" s="74"/>
      <c r="F277" s="73"/>
      <c r="G277" s="7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66"/>
    </row>
    <row r="278" spans="1:40" s="30" customFormat="1" x14ac:dyDescent="0.3">
      <c r="A278" s="11"/>
      <c r="B278" s="72"/>
      <c r="C278" s="38"/>
      <c r="D278" s="73"/>
      <c r="E278" s="74"/>
      <c r="F278" s="73"/>
      <c r="G278" s="7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66"/>
    </row>
    <row r="279" spans="1:40" s="30" customFormat="1" x14ac:dyDescent="0.3">
      <c r="A279" s="11"/>
      <c r="B279" s="72"/>
      <c r="C279" s="38"/>
      <c r="D279" s="73"/>
      <c r="E279" s="74"/>
      <c r="F279" s="73"/>
      <c r="G279" s="7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66"/>
    </row>
    <row r="280" spans="1:40" s="30" customFormat="1" x14ac:dyDescent="0.3">
      <c r="A280" s="11"/>
      <c r="B280" s="35" t="s">
        <v>78</v>
      </c>
      <c r="C280" s="28"/>
      <c r="D280" s="65" t="s">
        <v>67</v>
      </c>
      <c r="E280" s="65" t="s">
        <v>68</v>
      </c>
      <c r="F280" s="65" t="s">
        <v>69</v>
      </c>
      <c r="G280" s="65" t="s">
        <v>70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66"/>
    </row>
    <row r="281" spans="1:40" s="30" customFormat="1" x14ac:dyDescent="0.3">
      <c r="A281" s="11"/>
      <c r="B281" s="37" t="s">
        <v>16</v>
      </c>
      <c r="C281" s="38" t="s">
        <v>17</v>
      </c>
      <c r="D281" s="59"/>
      <c r="E281" s="39"/>
      <c r="F281" s="59"/>
      <c r="G281" s="3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66"/>
    </row>
    <row r="282" spans="1:40" s="30" customFormat="1" x14ac:dyDescent="0.3">
      <c r="A282" s="11"/>
      <c r="B282" s="37" t="s">
        <v>16</v>
      </c>
      <c r="C282" s="38" t="s">
        <v>18</v>
      </c>
      <c r="D282" s="59"/>
      <c r="E282" s="39"/>
      <c r="F282" s="59"/>
      <c r="G282" s="3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66"/>
    </row>
    <row r="283" spans="1:40" s="30" customFormat="1" x14ac:dyDescent="0.3">
      <c r="A283" s="11"/>
      <c r="B283" s="37" t="s">
        <v>16</v>
      </c>
      <c r="C283" s="38" t="s">
        <v>19</v>
      </c>
      <c r="D283" s="59"/>
      <c r="E283" s="39"/>
      <c r="F283" s="59"/>
      <c r="G283" s="3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66"/>
    </row>
    <row r="284" spans="1:40" s="30" customFormat="1" x14ac:dyDescent="0.3">
      <c r="A284" s="11"/>
      <c r="B284" s="37" t="s">
        <v>16</v>
      </c>
      <c r="C284" s="38" t="s">
        <v>20</v>
      </c>
      <c r="D284" s="59"/>
      <c r="E284" s="39"/>
      <c r="F284" s="59"/>
      <c r="G284" s="3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66"/>
    </row>
    <row r="285" spans="1:40" s="30" customFormat="1" x14ac:dyDescent="0.3">
      <c r="A285" s="11"/>
      <c r="B285" s="72"/>
      <c r="C285" s="38"/>
      <c r="D285" s="73"/>
      <c r="E285" s="74"/>
      <c r="F285" s="73"/>
      <c r="G285" s="7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66"/>
    </row>
    <row r="286" spans="1:40" s="30" customFormat="1" x14ac:dyDescent="0.3">
      <c r="A286" s="11"/>
      <c r="B286" s="72"/>
      <c r="C286" s="38"/>
      <c r="D286" s="73"/>
      <c r="E286" s="74"/>
      <c r="F286" s="73"/>
      <c r="G286" s="7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66"/>
    </row>
    <row r="287" spans="1:40" s="30" customFormat="1" x14ac:dyDescent="0.3">
      <c r="A287" s="11"/>
      <c r="B287" s="72"/>
      <c r="C287" s="38"/>
      <c r="D287" s="73"/>
      <c r="E287" s="74"/>
      <c r="F287" s="73"/>
      <c r="G287" s="7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66"/>
    </row>
    <row r="288" spans="1:40" s="30" customFormat="1" x14ac:dyDescent="0.3">
      <c r="A288" s="11"/>
      <c r="B288" s="35" t="s">
        <v>79</v>
      </c>
      <c r="C288" s="28"/>
      <c r="D288" s="65" t="s">
        <v>67</v>
      </c>
      <c r="E288" s="65" t="s">
        <v>68</v>
      </c>
      <c r="F288" s="65" t="s">
        <v>69</v>
      </c>
      <c r="G288" s="65" t="s">
        <v>70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66"/>
    </row>
    <row r="289" spans="1:40" s="30" customFormat="1" x14ac:dyDescent="0.3">
      <c r="A289" s="11"/>
      <c r="B289" s="37" t="s">
        <v>16</v>
      </c>
      <c r="C289" s="38" t="s">
        <v>17</v>
      </c>
      <c r="D289" s="59"/>
      <c r="E289" s="39"/>
      <c r="F289" s="59"/>
      <c r="G289" s="3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66"/>
    </row>
    <row r="290" spans="1:40" s="30" customFormat="1" x14ac:dyDescent="0.3">
      <c r="A290" s="11"/>
      <c r="B290" s="37" t="s">
        <v>16</v>
      </c>
      <c r="C290" s="38" t="s">
        <v>18</v>
      </c>
      <c r="D290" s="59"/>
      <c r="E290" s="39"/>
      <c r="F290" s="59"/>
      <c r="G290" s="39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66"/>
    </row>
    <row r="291" spans="1:40" s="30" customFormat="1" x14ac:dyDescent="0.3">
      <c r="A291" s="11"/>
      <c r="B291" s="37" t="s">
        <v>16</v>
      </c>
      <c r="C291" s="38" t="s">
        <v>19</v>
      </c>
      <c r="D291" s="59"/>
      <c r="E291" s="39"/>
      <c r="F291" s="59"/>
      <c r="G291" s="39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66"/>
    </row>
    <row r="292" spans="1:40" s="30" customFormat="1" x14ac:dyDescent="0.3">
      <c r="A292" s="11"/>
      <c r="B292" s="37" t="s">
        <v>16</v>
      </c>
      <c r="C292" s="38" t="s">
        <v>20</v>
      </c>
      <c r="D292" s="59"/>
      <c r="E292" s="39"/>
      <c r="F292" s="59"/>
      <c r="G292" s="39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66"/>
    </row>
    <row r="293" spans="1:40" s="30" customFormat="1" x14ac:dyDescent="0.3">
      <c r="A293" s="11"/>
      <c r="B293" s="72"/>
      <c r="C293" s="38"/>
      <c r="D293" s="73"/>
      <c r="E293" s="74"/>
      <c r="F293" s="73"/>
      <c r="G293" s="7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66"/>
    </row>
    <row r="294" spans="1:40" s="30" customFormat="1" x14ac:dyDescent="0.3">
      <c r="A294" s="11"/>
      <c r="B294" s="72"/>
      <c r="C294" s="38"/>
      <c r="D294" s="73"/>
      <c r="E294" s="74"/>
      <c r="F294" s="73"/>
      <c r="G294" s="7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66"/>
    </row>
    <row r="295" spans="1:40" s="30" customFormat="1" x14ac:dyDescent="0.3">
      <c r="A295" s="11"/>
      <c r="B295" s="72"/>
      <c r="C295" s="38"/>
      <c r="D295" s="73"/>
      <c r="E295" s="74"/>
      <c r="F295" s="73"/>
      <c r="G295" s="7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66"/>
    </row>
    <row r="296" spans="1:40" s="30" customFormat="1" x14ac:dyDescent="0.3">
      <c r="A296" s="11"/>
      <c r="B296" s="35" t="s">
        <v>80</v>
      </c>
      <c r="C296" s="28"/>
      <c r="D296" s="65" t="s">
        <v>67</v>
      </c>
      <c r="E296" s="65" t="s">
        <v>68</v>
      </c>
      <c r="F296" s="65" t="s">
        <v>69</v>
      </c>
      <c r="G296" s="65" t="s">
        <v>70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66"/>
    </row>
    <row r="297" spans="1:40" s="30" customFormat="1" x14ac:dyDescent="0.3">
      <c r="A297" s="11"/>
      <c r="B297" s="37" t="s">
        <v>16</v>
      </c>
      <c r="C297" s="38" t="s">
        <v>17</v>
      </c>
      <c r="D297" s="59"/>
      <c r="E297" s="39"/>
      <c r="F297" s="59"/>
      <c r="G297" s="39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66"/>
    </row>
    <row r="298" spans="1:40" s="30" customFormat="1" x14ac:dyDescent="0.3">
      <c r="A298" s="11"/>
      <c r="B298" s="37" t="s">
        <v>16</v>
      </c>
      <c r="C298" s="38" t="s">
        <v>18</v>
      </c>
      <c r="D298" s="59"/>
      <c r="E298" s="39"/>
      <c r="F298" s="59"/>
      <c r="G298" s="39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66"/>
    </row>
    <row r="299" spans="1:40" s="30" customFormat="1" x14ac:dyDescent="0.3">
      <c r="A299" s="11"/>
      <c r="B299" s="37" t="s">
        <v>16</v>
      </c>
      <c r="C299" s="38" t="s">
        <v>19</v>
      </c>
      <c r="D299" s="59"/>
      <c r="E299" s="39"/>
      <c r="F299" s="59"/>
      <c r="G299" s="39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66"/>
    </row>
    <row r="300" spans="1:40" s="30" customFormat="1" x14ac:dyDescent="0.3">
      <c r="A300" s="11"/>
      <c r="B300" s="37" t="s">
        <v>16</v>
      </c>
      <c r="C300" s="38" t="s">
        <v>20</v>
      </c>
      <c r="D300" s="59"/>
      <c r="E300" s="39"/>
      <c r="F300" s="59"/>
      <c r="G300" s="39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66"/>
    </row>
    <row r="301" spans="1:40" s="30" customFormat="1" x14ac:dyDescent="0.3">
      <c r="A301" s="11"/>
      <c r="B301" s="72"/>
      <c r="C301" s="38"/>
      <c r="D301" s="73"/>
      <c r="E301" s="74"/>
      <c r="F301" s="73"/>
      <c r="G301" s="7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66"/>
    </row>
    <row r="302" spans="1:40" s="30" customFormat="1" x14ac:dyDescent="0.3">
      <c r="A302" s="11"/>
      <c r="B302" s="72"/>
      <c r="C302" s="38"/>
      <c r="D302" s="73"/>
      <c r="E302" s="74"/>
      <c r="F302" s="73"/>
      <c r="G302" s="7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66"/>
    </row>
    <row r="303" spans="1:40" s="30" customFormat="1" x14ac:dyDescent="0.3">
      <c r="A303" s="11"/>
      <c r="B303" s="72"/>
      <c r="C303" s="38"/>
      <c r="D303" s="73"/>
      <c r="E303" s="74"/>
      <c r="F303" s="73"/>
      <c r="G303" s="7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66"/>
    </row>
    <row r="304" spans="1:40" s="30" customFormat="1" x14ac:dyDescent="0.3">
      <c r="A304" s="11"/>
      <c r="B304" s="35" t="s">
        <v>71</v>
      </c>
      <c r="C304" s="28"/>
      <c r="D304" s="65" t="s">
        <v>67</v>
      </c>
      <c r="E304" s="65" t="s">
        <v>68</v>
      </c>
      <c r="F304" s="65" t="s">
        <v>69</v>
      </c>
      <c r="G304" s="65" t="s">
        <v>70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66"/>
    </row>
    <row r="305" spans="1:40" s="32" customFormat="1" x14ac:dyDescent="0.3">
      <c r="A305" s="11"/>
      <c r="B305" s="40" t="s">
        <v>21</v>
      </c>
      <c r="C305" s="23" t="s">
        <v>22</v>
      </c>
      <c r="D305" s="60">
        <v>1</v>
      </c>
      <c r="E305" s="41">
        <v>9</v>
      </c>
      <c r="F305" s="60">
        <v>121</v>
      </c>
      <c r="G305" s="41">
        <v>14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68"/>
    </row>
    <row r="306" spans="1:40" s="32" customFormat="1" x14ac:dyDescent="0.3">
      <c r="A306" s="11"/>
      <c r="B306" s="40" t="s">
        <v>21</v>
      </c>
      <c r="C306" s="23" t="s">
        <v>23</v>
      </c>
      <c r="D306" s="60">
        <v>9</v>
      </c>
      <c r="E306" s="41">
        <v>26</v>
      </c>
      <c r="F306" s="60">
        <v>170</v>
      </c>
      <c r="G306" s="41">
        <v>9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68"/>
    </row>
    <row r="307" spans="1:40" s="32" customFormat="1" x14ac:dyDescent="0.3">
      <c r="A307" s="11"/>
      <c r="B307" s="40" t="s">
        <v>21</v>
      </c>
      <c r="C307" s="23" t="s">
        <v>24</v>
      </c>
      <c r="D307" s="60">
        <v>8</v>
      </c>
      <c r="E307" s="41">
        <v>9</v>
      </c>
      <c r="F307" s="60">
        <v>178</v>
      </c>
      <c r="G307" s="41">
        <v>8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68"/>
    </row>
    <row r="308" spans="1:40" s="32" customFormat="1" x14ac:dyDescent="0.3">
      <c r="A308" s="11"/>
      <c r="B308" s="40" t="s">
        <v>21</v>
      </c>
      <c r="C308" s="23" t="s">
        <v>25</v>
      </c>
      <c r="D308" s="60">
        <v>2</v>
      </c>
      <c r="E308" s="41">
        <v>17</v>
      </c>
      <c r="F308" s="60">
        <v>285</v>
      </c>
      <c r="G308" s="41">
        <v>9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68"/>
    </row>
    <row r="309" spans="1:40" s="32" customFormat="1" x14ac:dyDescent="0.3">
      <c r="A309" s="11"/>
      <c r="B309" s="40" t="s">
        <v>21</v>
      </c>
      <c r="C309" s="23" t="s">
        <v>26</v>
      </c>
      <c r="D309" s="60">
        <v>7</v>
      </c>
      <c r="E309" s="41">
        <v>30</v>
      </c>
      <c r="F309" s="60">
        <v>544</v>
      </c>
      <c r="G309" s="41">
        <v>47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68"/>
    </row>
    <row r="310" spans="1:40" s="32" customFormat="1" x14ac:dyDescent="0.3">
      <c r="A310" s="11"/>
      <c r="B310" s="40" t="s">
        <v>21</v>
      </c>
      <c r="C310" s="23" t="s">
        <v>27</v>
      </c>
      <c r="D310" s="60">
        <v>2</v>
      </c>
      <c r="E310" s="41">
        <v>3</v>
      </c>
      <c r="F310" s="60">
        <v>44</v>
      </c>
      <c r="G310" s="41">
        <v>4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68"/>
    </row>
    <row r="311" spans="1:40" s="32" customFormat="1" x14ac:dyDescent="0.3">
      <c r="A311" s="11"/>
      <c r="B311" s="78"/>
      <c r="C311" s="23"/>
      <c r="D311" s="94">
        <f>SUM(D305:D310)</f>
        <v>29</v>
      </c>
      <c r="E311" s="94">
        <f t="shared" ref="E311:G311" si="151">SUM(E305:E310)</f>
        <v>94</v>
      </c>
      <c r="F311" s="94">
        <f t="shared" si="151"/>
        <v>1342</v>
      </c>
      <c r="G311" s="94">
        <f t="shared" si="151"/>
        <v>91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68"/>
    </row>
    <row r="312" spans="1:40" s="32" customFormat="1" x14ac:dyDescent="0.3">
      <c r="A312" s="11"/>
      <c r="B312" s="35" t="s">
        <v>72</v>
      </c>
      <c r="C312" s="28"/>
      <c r="D312" s="65" t="s">
        <v>67</v>
      </c>
      <c r="E312" s="65" t="s">
        <v>68</v>
      </c>
      <c r="F312" s="65" t="s">
        <v>69</v>
      </c>
      <c r="G312" s="65" t="s">
        <v>70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68"/>
    </row>
    <row r="313" spans="1:40" s="32" customFormat="1" x14ac:dyDescent="0.3">
      <c r="A313" s="11"/>
      <c r="B313" s="40" t="s">
        <v>21</v>
      </c>
      <c r="C313" s="23" t="s">
        <v>22</v>
      </c>
      <c r="D313" s="60"/>
      <c r="E313" s="41"/>
      <c r="F313" s="60"/>
      <c r="G313" s="4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68"/>
    </row>
    <row r="314" spans="1:40" s="32" customFormat="1" x14ac:dyDescent="0.3">
      <c r="A314" s="11"/>
      <c r="B314" s="40" t="s">
        <v>21</v>
      </c>
      <c r="C314" s="23" t="s">
        <v>23</v>
      </c>
      <c r="D314" s="60"/>
      <c r="E314" s="41"/>
      <c r="F314" s="60"/>
      <c r="G314" s="4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68"/>
    </row>
    <row r="315" spans="1:40" s="32" customFormat="1" x14ac:dyDescent="0.3">
      <c r="A315" s="11"/>
      <c r="B315" s="40" t="s">
        <v>21</v>
      </c>
      <c r="C315" s="23" t="s">
        <v>24</v>
      </c>
      <c r="D315" s="60"/>
      <c r="E315" s="41"/>
      <c r="F315" s="60"/>
      <c r="G315" s="4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68"/>
    </row>
    <row r="316" spans="1:40" s="32" customFormat="1" x14ac:dyDescent="0.3">
      <c r="A316" s="11"/>
      <c r="B316" s="40" t="s">
        <v>21</v>
      </c>
      <c r="C316" s="23" t="s">
        <v>25</v>
      </c>
      <c r="D316" s="60"/>
      <c r="E316" s="41"/>
      <c r="F316" s="60"/>
      <c r="G316" s="4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68"/>
    </row>
    <row r="317" spans="1:40" s="32" customFormat="1" x14ac:dyDescent="0.3">
      <c r="A317" s="11"/>
      <c r="B317" s="40" t="s">
        <v>21</v>
      </c>
      <c r="C317" s="23" t="s">
        <v>26</v>
      </c>
      <c r="D317" s="60"/>
      <c r="E317" s="41"/>
      <c r="F317" s="60"/>
      <c r="G317" s="4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68"/>
    </row>
    <row r="318" spans="1:40" s="32" customFormat="1" x14ac:dyDescent="0.3">
      <c r="A318" s="11"/>
      <c r="B318" s="40" t="s">
        <v>21</v>
      </c>
      <c r="C318" s="23" t="s">
        <v>27</v>
      </c>
      <c r="D318" s="60"/>
      <c r="E318" s="41"/>
      <c r="F318" s="60"/>
      <c r="G318" s="4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68"/>
    </row>
    <row r="319" spans="1:40" s="32" customFormat="1" x14ac:dyDescent="0.3">
      <c r="A319" s="11"/>
      <c r="B319" s="78"/>
      <c r="C319" s="23"/>
      <c r="D319" s="94"/>
      <c r="E319" s="94"/>
      <c r="F319" s="94"/>
      <c r="G319" s="9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68"/>
    </row>
    <row r="320" spans="1:40" s="32" customFormat="1" x14ac:dyDescent="0.3">
      <c r="A320" s="11"/>
      <c r="B320" s="35" t="s">
        <v>73</v>
      </c>
      <c r="C320" s="28"/>
      <c r="D320" s="65" t="s">
        <v>67</v>
      </c>
      <c r="E320" s="65" t="s">
        <v>68</v>
      </c>
      <c r="F320" s="65" t="s">
        <v>69</v>
      </c>
      <c r="G320" s="65" t="s">
        <v>70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68"/>
    </row>
    <row r="321" spans="1:40" s="32" customFormat="1" x14ac:dyDescent="0.3">
      <c r="A321" s="11"/>
      <c r="B321" s="40" t="s">
        <v>21</v>
      </c>
      <c r="C321" s="23" t="s">
        <v>22</v>
      </c>
      <c r="D321" s="60"/>
      <c r="E321" s="41"/>
      <c r="F321" s="60"/>
      <c r="G321" s="4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68"/>
    </row>
    <row r="322" spans="1:40" s="32" customFormat="1" x14ac:dyDescent="0.3">
      <c r="A322" s="11"/>
      <c r="B322" s="40" t="s">
        <v>21</v>
      </c>
      <c r="C322" s="23" t="s">
        <v>23</v>
      </c>
      <c r="D322" s="60"/>
      <c r="E322" s="41"/>
      <c r="F322" s="60"/>
      <c r="G322" s="4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68"/>
    </row>
    <row r="323" spans="1:40" s="32" customFormat="1" x14ac:dyDescent="0.3">
      <c r="A323" s="11"/>
      <c r="B323" s="40" t="s">
        <v>21</v>
      </c>
      <c r="C323" s="23" t="s">
        <v>24</v>
      </c>
      <c r="D323" s="60"/>
      <c r="E323" s="41"/>
      <c r="F323" s="60"/>
      <c r="G323" s="4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68"/>
    </row>
    <row r="324" spans="1:40" s="32" customFormat="1" x14ac:dyDescent="0.3">
      <c r="A324" s="11"/>
      <c r="B324" s="40" t="s">
        <v>21</v>
      </c>
      <c r="C324" s="23" t="s">
        <v>25</v>
      </c>
      <c r="D324" s="60"/>
      <c r="E324" s="41"/>
      <c r="F324" s="60"/>
      <c r="G324" s="4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68"/>
    </row>
    <row r="325" spans="1:40" s="32" customFormat="1" x14ac:dyDescent="0.3">
      <c r="A325" s="11"/>
      <c r="B325" s="40" t="s">
        <v>21</v>
      </c>
      <c r="C325" s="23" t="s">
        <v>26</v>
      </c>
      <c r="D325" s="60"/>
      <c r="E325" s="41"/>
      <c r="F325" s="60"/>
      <c r="G325" s="4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68"/>
    </row>
    <row r="326" spans="1:40" s="32" customFormat="1" x14ac:dyDescent="0.3">
      <c r="A326" s="11"/>
      <c r="B326" s="40" t="s">
        <v>21</v>
      </c>
      <c r="C326" s="23" t="s">
        <v>27</v>
      </c>
      <c r="D326" s="60"/>
      <c r="E326" s="41"/>
      <c r="F326" s="60"/>
      <c r="G326" s="4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68"/>
    </row>
    <row r="327" spans="1:40" s="32" customFormat="1" x14ac:dyDescent="0.3">
      <c r="A327" s="11"/>
      <c r="B327" s="78"/>
      <c r="C327" s="23"/>
      <c r="D327" s="94"/>
      <c r="E327" s="94"/>
      <c r="F327" s="94"/>
      <c r="G327" s="9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68"/>
    </row>
    <row r="328" spans="1:40" s="32" customFormat="1" x14ac:dyDescent="0.3">
      <c r="A328" s="11"/>
      <c r="B328" s="35" t="s">
        <v>81</v>
      </c>
      <c r="C328" s="28"/>
      <c r="D328" s="65" t="s">
        <v>67</v>
      </c>
      <c r="E328" s="65" t="s">
        <v>68</v>
      </c>
      <c r="F328" s="65" t="s">
        <v>69</v>
      </c>
      <c r="G328" s="65" t="s">
        <v>70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68"/>
    </row>
    <row r="329" spans="1:40" s="32" customFormat="1" x14ac:dyDescent="0.3">
      <c r="A329" s="11"/>
      <c r="B329" s="40" t="s">
        <v>21</v>
      </c>
      <c r="C329" s="23" t="s">
        <v>22</v>
      </c>
      <c r="D329" s="60"/>
      <c r="E329" s="41"/>
      <c r="F329" s="60"/>
      <c r="G329" s="4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68"/>
    </row>
    <row r="330" spans="1:40" s="32" customFormat="1" x14ac:dyDescent="0.3">
      <c r="A330" s="11"/>
      <c r="B330" s="40" t="s">
        <v>21</v>
      </c>
      <c r="C330" s="23" t="s">
        <v>23</v>
      </c>
      <c r="D330" s="60"/>
      <c r="E330" s="41"/>
      <c r="F330" s="60"/>
      <c r="G330" s="4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68"/>
    </row>
    <row r="331" spans="1:40" s="32" customFormat="1" x14ac:dyDescent="0.3">
      <c r="A331" s="11"/>
      <c r="B331" s="40" t="s">
        <v>21</v>
      </c>
      <c r="C331" s="23" t="s">
        <v>24</v>
      </c>
      <c r="D331" s="60"/>
      <c r="E331" s="41"/>
      <c r="F331" s="60"/>
      <c r="G331" s="4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68"/>
    </row>
    <row r="332" spans="1:40" s="32" customFormat="1" x14ac:dyDescent="0.3">
      <c r="A332" s="11"/>
      <c r="B332" s="40" t="s">
        <v>21</v>
      </c>
      <c r="C332" s="23" t="s">
        <v>25</v>
      </c>
      <c r="D332" s="60"/>
      <c r="E332" s="41"/>
      <c r="F332" s="60"/>
      <c r="G332" s="4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68"/>
    </row>
    <row r="333" spans="1:40" s="32" customFormat="1" x14ac:dyDescent="0.3">
      <c r="A333" s="11"/>
      <c r="B333" s="40" t="s">
        <v>21</v>
      </c>
      <c r="C333" s="23" t="s">
        <v>26</v>
      </c>
      <c r="D333" s="60"/>
      <c r="E333" s="41"/>
      <c r="F333" s="60"/>
      <c r="G333" s="4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68"/>
    </row>
    <row r="334" spans="1:40" s="32" customFormat="1" x14ac:dyDescent="0.3">
      <c r="A334" s="11"/>
      <c r="B334" s="40" t="s">
        <v>21</v>
      </c>
      <c r="C334" s="23" t="s">
        <v>27</v>
      </c>
      <c r="D334" s="60"/>
      <c r="E334" s="41"/>
      <c r="F334" s="60"/>
      <c r="G334" s="4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68"/>
    </row>
    <row r="335" spans="1:40" s="32" customFormat="1" x14ac:dyDescent="0.3">
      <c r="A335" s="11"/>
      <c r="B335" s="78"/>
      <c r="C335" s="23"/>
      <c r="D335" s="79"/>
      <c r="E335" s="79"/>
      <c r="F335" s="79"/>
      <c r="G335" s="79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68"/>
    </row>
    <row r="336" spans="1:40" s="32" customFormat="1" x14ac:dyDescent="0.3">
      <c r="A336" s="11"/>
      <c r="B336" s="35" t="s">
        <v>82</v>
      </c>
      <c r="C336" s="28"/>
      <c r="D336" s="65" t="s">
        <v>67</v>
      </c>
      <c r="E336" s="65" t="s">
        <v>68</v>
      </c>
      <c r="F336" s="65" t="s">
        <v>69</v>
      </c>
      <c r="G336" s="65" t="s">
        <v>70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68"/>
    </row>
    <row r="337" spans="1:40" s="32" customFormat="1" x14ac:dyDescent="0.3">
      <c r="A337" s="11"/>
      <c r="B337" s="40" t="s">
        <v>21</v>
      </c>
      <c r="C337" s="23" t="s">
        <v>22</v>
      </c>
      <c r="D337" s="60"/>
      <c r="E337" s="41"/>
      <c r="F337" s="60"/>
      <c r="G337" s="4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68"/>
    </row>
    <row r="338" spans="1:40" s="32" customFormat="1" x14ac:dyDescent="0.3">
      <c r="A338" s="11"/>
      <c r="B338" s="40" t="s">
        <v>21</v>
      </c>
      <c r="C338" s="23" t="s">
        <v>23</v>
      </c>
      <c r="D338" s="60"/>
      <c r="E338" s="41"/>
      <c r="F338" s="60"/>
      <c r="G338" s="4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68"/>
    </row>
    <row r="339" spans="1:40" s="32" customFormat="1" x14ac:dyDescent="0.3">
      <c r="A339" s="11"/>
      <c r="B339" s="40" t="s">
        <v>21</v>
      </c>
      <c r="C339" s="23" t="s">
        <v>24</v>
      </c>
      <c r="D339" s="60"/>
      <c r="E339" s="41"/>
      <c r="F339" s="60"/>
      <c r="G339" s="4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68"/>
    </row>
    <row r="340" spans="1:40" s="32" customFormat="1" x14ac:dyDescent="0.3">
      <c r="A340" s="11"/>
      <c r="B340" s="40" t="s">
        <v>21</v>
      </c>
      <c r="C340" s="23" t="s">
        <v>25</v>
      </c>
      <c r="D340" s="60"/>
      <c r="E340" s="41"/>
      <c r="F340" s="60"/>
      <c r="G340" s="4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68"/>
    </row>
    <row r="341" spans="1:40" s="32" customFormat="1" x14ac:dyDescent="0.3">
      <c r="A341" s="11"/>
      <c r="B341" s="40" t="s">
        <v>21</v>
      </c>
      <c r="C341" s="23" t="s">
        <v>26</v>
      </c>
      <c r="D341" s="60"/>
      <c r="E341" s="41"/>
      <c r="F341" s="60"/>
      <c r="G341" s="4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68"/>
    </row>
    <row r="342" spans="1:40" s="32" customFormat="1" x14ac:dyDescent="0.3">
      <c r="A342" s="11"/>
      <c r="B342" s="40" t="s">
        <v>21</v>
      </c>
      <c r="C342" s="23" t="s">
        <v>27</v>
      </c>
      <c r="D342" s="60"/>
      <c r="E342" s="41"/>
      <c r="F342" s="60"/>
      <c r="G342" s="4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68"/>
    </row>
    <row r="343" spans="1:40" s="32" customFormat="1" x14ac:dyDescent="0.3">
      <c r="A343" s="11"/>
      <c r="B343" s="78"/>
      <c r="C343" s="23"/>
      <c r="D343" s="79"/>
      <c r="E343" s="79"/>
      <c r="F343" s="79"/>
      <c r="G343" s="79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68"/>
    </row>
    <row r="344" spans="1:40" s="32" customFormat="1" x14ac:dyDescent="0.3">
      <c r="A344" s="11"/>
      <c r="B344" s="35" t="s">
        <v>74</v>
      </c>
      <c r="C344" s="28"/>
      <c r="D344" s="65" t="s">
        <v>67</v>
      </c>
      <c r="E344" s="65" t="s">
        <v>68</v>
      </c>
      <c r="F344" s="65" t="s">
        <v>69</v>
      </c>
      <c r="G344" s="65" t="s">
        <v>70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68"/>
    </row>
    <row r="345" spans="1:40" s="32" customFormat="1" x14ac:dyDescent="0.3">
      <c r="A345" s="11"/>
      <c r="B345" s="40" t="s">
        <v>21</v>
      </c>
      <c r="C345" s="23" t="s">
        <v>22</v>
      </c>
      <c r="D345" s="60"/>
      <c r="E345" s="41"/>
      <c r="F345" s="60"/>
      <c r="G345" s="4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68"/>
    </row>
    <row r="346" spans="1:40" s="32" customFormat="1" x14ac:dyDescent="0.3">
      <c r="A346" s="11"/>
      <c r="B346" s="40" t="s">
        <v>21</v>
      </c>
      <c r="C346" s="23" t="s">
        <v>23</v>
      </c>
      <c r="D346" s="60"/>
      <c r="E346" s="41"/>
      <c r="F346" s="60"/>
      <c r="G346" s="4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68"/>
    </row>
    <row r="347" spans="1:40" s="32" customFormat="1" x14ac:dyDescent="0.3">
      <c r="A347" s="11"/>
      <c r="B347" s="40" t="s">
        <v>21</v>
      </c>
      <c r="C347" s="23" t="s">
        <v>24</v>
      </c>
      <c r="D347" s="60"/>
      <c r="E347" s="41"/>
      <c r="F347" s="60"/>
      <c r="G347" s="4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68"/>
    </row>
    <row r="348" spans="1:40" s="32" customFormat="1" x14ac:dyDescent="0.3">
      <c r="A348" s="11"/>
      <c r="B348" s="40" t="s">
        <v>21</v>
      </c>
      <c r="C348" s="23" t="s">
        <v>25</v>
      </c>
      <c r="D348" s="60"/>
      <c r="E348" s="41"/>
      <c r="F348" s="60"/>
      <c r="G348" s="4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68"/>
    </row>
    <row r="349" spans="1:40" s="32" customFormat="1" x14ac:dyDescent="0.3">
      <c r="A349" s="11"/>
      <c r="B349" s="40" t="s">
        <v>21</v>
      </c>
      <c r="C349" s="23" t="s">
        <v>26</v>
      </c>
      <c r="D349" s="60"/>
      <c r="E349" s="41"/>
      <c r="F349" s="60"/>
      <c r="G349" s="4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68"/>
    </row>
    <row r="350" spans="1:40" s="32" customFormat="1" x14ac:dyDescent="0.3">
      <c r="A350" s="11"/>
      <c r="B350" s="40" t="s">
        <v>21</v>
      </c>
      <c r="C350" s="23" t="s">
        <v>27</v>
      </c>
      <c r="D350" s="60"/>
      <c r="E350" s="41"/>
      <c r="F350" s="60"/>
      <c r="G350" s="4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68"/>
    </row>
    <row r="351" spans="1:40" s="32" customFormat="1" x14ac:dyDescent="0.3">
      <c r="A351" s="11"/>
      <c r="B351" s="78"/>
      <c r="C351" s="23"/>
      <c r="D351" s="79"/>
      <c r="E351" s="79"/>
      <c r="F351" s="79"/>
      <c r="G351" s="79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68"/>
    </row>
    <row r="352" spans="1:40" s="32" customFormat="1" x14ac:dyDescent="0.3">
      <c r="A352" s="11"/>
      <c r="B352" s="35" t="s">
        <v>75</v>
      </c>
      <c r="C352" s="28"/>
      <c r="D352" s="65" t="s">
        <v>67</v>
      </c>
      <c r="E352" s="65" t="s">
        <v>68</v>
      </c>
      <c r="F352" s="65" t="s">
        <v>69</v>
      </c>
      <c r="G352" s="65" t="s">
        <v>70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68"/>
    </row>
    <row r="353" spans="1:40" s="32" customFormat="1" x14ac:dyDescent="0.3">
      <c r="A353" s="11"/>
      <c r="B353" s="40" t="s">
        <v>21</v>
      </c>
      <c r="C353" s="23" t="s">
        <v>22</v>
      </c>
      <c r="D353" s="60"/>
      <c r="E353" s="41"/>
      <c r="F353" s="60"/>
      <c r="G353" s="4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68"/>
    </row>
    <row r="354" spans="1:40" s="32" customFormat="1" x14ac:dyDescent="0.3">
      <c r="A354" s="11"/>
      <c r="B354" s="40" t="s">
        <v>21</v>
      </c>
      <c r="C354" s="23" t="s">
        <v>23</v>
      </c>
      <c r="D354" s="60"/>
      <c r="E354" s="41"/>
      <c r="F354" s="60"/>
      <c r="G354" s="4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68"/>
    </row>
    <row r="355" spans="1:40" s="32" customFormat="1" x14ac:dyDescent="0.3">
      <c r="A355" s="11"/>
      <c r="B355" s="40" t="s">
        <v>21</v>
      </c>
      <c r="C355" s="23" t="s">
        <v>24</v>
      </c>
      <c r="D355" s="60"/>
      <c r="E355" s="41"/>
      <c r="F355" s="60"/>
      <c r="G355" s="4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68"/>
    </row>
    <row r="356" spans="1:40" s="32" customFormat="1" x14ac:dyDescent="0.3">
      <c r="A356" s="11"/>
      <c r="B356" s="40" t="s">
        <v>21</v>
      </c>
      <c r="C356" s="23" t="s">
        <v>25</v>
      </c>
      <c r="D356" s="60"/>
      <c r="E356" s="41"/>
      <c r="F356" s="60"/>
      <c r="G356" s="4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68"/>
    </row>
    <row r="357" spans="1:40" s="32" customFormat="1" x14ac:dyDescent="0.3">
      <c r="A357" s="11"/>
      <c r="B357" s="40" t="s">
        <v>21</v>
      </c>
      <c r="C357" s="23" t="s">
        <v>26</v>
      </c>
      <c r="D357" s="60"/>
      <c r="E357" s="41"/>
      <c r="F357" s="60"/>
      <c r="G357" s="4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68"/>
    </row>
    <row r="358" spans="1:40" s="32" customFormat="1" x14ac:dyDescent="0.3">
      <c r="A358" s="11"/>
      <c r="B358" s="40" t="s">
        <v>21</v>
      </c>
      <c r="C358" s="23" t="s">
        <v>27</v>
      </c>
      <c r="D358" s="60"/>
      <c r="E358" s="41"/>
      <c r="F358" s="60"/>
      <c r="G358" s="4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68"/>
    </row>
    <row r="359" spans="1:40" s="32" customFormat="1" x14ac:dyDescent="0.3">
      <c r="A359" s="11"/>
      <c r="B359" s="78"/>
      <c r="C359" s="23"/>
      <c r="D359" s="94"/>
      <c r="E359" s="94"/>
      <c r="F359" s="94"/>
      <c r="G359" s="9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68"/>
    </row>
    <row r="360" spans="1:40" s="32" customFormat="1" x14ac:dyDescent="0.3">
      <c r="A360" s="11"/>
      <c r="B360" s="35" t="s">
        <v>76</v>
      </c>
      <c r="C360" s="28"/>
      <c r="D360" s="65" t="s">
        <v>67</v>
      </c>
      <c r="E360" s="65" t="s">
        <v>68</v>
      </c>
      <c r="F360" s="65" t="s">
        <v>69</v>
      </c>
      <c r="G360" s="65" t="s">
        <v>70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68"/>
    </row>
    <row r="361" spans="1:40" s="32" customFormat="1" x14ac:dyDescent="0.3">
      <c r="A361" s="11"/>
      <c r="B361" s="40" t="s">
        <v>21</v>
      </c>
      <c r="C361" s="23" t="s">
        <v>22</v>
      </c>
      <c r="D361" s="60"/>
      <c r="E361" s="41"/>
      <c r="F361" s="60"/>
      <c r="G361" s="4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68"/>
    </row>
    <row r="362" spans="1:40" s="32" customFormat="1" x14ac:dyDescent="0.3">
      <c r="A362" s="11"/>
      <c r="B362" s="40" t="s">
        <v>21</v>
      </c>
      <c r="C362" s="23" t="s">
        <v>23</v>
      </c>
      <c r="D362" s="60"/>
      <c r="E362" s="41"/>
      <c r="F362" s="60"/>
      <c r="G362" s="4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68"/>
    </row>
    <row r="363" spans="1:40" s="32" customFormat="1" x14ac:dyDescent="0.3">
      <c r="A363" s="11"/>
      <c r="B363" s="40" t="s">
        <v>21</v>
      </c>
      <c r="C363" s="23" t="s">
        <v>24</v>
      </c>
      <c r="D363" s="60"/>
      <c r="E363" s="41"/>
      <c r="F363" s="60"/>
      <c r="G363" s="4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68"/>
    </row>
    <row r="364" spans="1:40" s="32" customFormat="1" x14ac:dyDescent="0.3">
      <c r="A364" s="11"/>
      <c r="B364" s="40" t="s">
        <v>21</v>
      </c>
      <c r="C364" s="23" t="s">
        <v>25</v>
      </c>
      <c r="D364" s="60"/>
      <c r="E364" s="41"/>
      <c r="F364" s="60"/>
      <c r="G364" s="4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68"/>
    </row>
    <row r="365" spans="1:40" s="32" customFormat="1" x14ac:dyDescent="0.3">
      <c r="A365" s="11"/>
      <c r="B365" s="40" t="s">
        <v>21</v>
      </c>
      <c r="C365" s="23" t="s">
        <v>26</v>
      </c>
      <c r="D365" s="60"/>
      <c r="E365" s="41"/>
      <c r="F365" s="60"/>
      <c r="G365" s="4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68"/>
    </row>
    <row r="366" spans="1:40" s="32" customFormat="1" x14ac:dyDescent="0.3">
      <c r="A366" s="11"/>
      <c r="B366" s="40" t="s">
        <v>21</v>
      </c>
      <c r="C366" s="23" t="s">
        <v>27</v>
      </c>
      <c r="D366" s="60"/>
      <c r="E366" s="41"/>
      <c r="F366" s="60"/>
      <c r="G366" s="4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68"/>
    </row>
    <row r="367" spans="1:40" s="32" customFormat="1" x14ac:dyDescent="0.3">
      <c r="A367" s="11"/>
      <c r="B367" s="78"/>
      <c r="C367" s="23"/>
      <c r="D367" s="94"/>
      <c r="E367" s="94"/>
      <c r="F367" s="94"/>
      <c r="G367" s="9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68"/>
    </row>
    <row r="368" spans="1:40" s="32" customFormat="1" x14ac:dyDescent="0.3">
      <c r="A368" s="11"/>
      <c r="B368" s="35" t="s">
        <v>77</v>
      </c>
      <c r="C368" s="28"/>
      <c r="D368" s="65" t="s">
        <v>67</v>
      </c>
      <c r="E368" s="65" t="s">
        <v>68</v>
      </c>
      <c r="F368" s="65" t="s">
        <v>69</v>
      </c>
      <c r="G368" s="65" t="s">
        <v>70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68"/>
    </row>
    <row r="369" spans="1:40" s="32" customFormat="1" x14ac:dyDescent="0.3">
      <c r="A369" s="11"/>
      <c r="B369" s="40" t="s">
        <v>21</v>
      </c>
      <c r="C369" s="23" t="s">
        <v>22</v>
      </c>
      <c r="D369" s="60"/>
      <c r="E369" s="41"/>
      <c r="F369" s="60"/>
      <c r="G369" s="4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68"/>
    </row>
    <row r="370" spans="1:40" s="32" customFormat="1" x14ac:dyDescent="0.3">
      <c r="A370" s="11"/>
      <c r="B370" s="40" t="s">
        <v>21</v>
      </c>
      <c r="C370" s="23" t="s">
        <v>23</v>
      </c>
      <c r="D370" s="60"/>
      <c r="E370" s="41"/>
      <c r="F370" s="60"/>
      <c r="G370" s="4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68"/>
    </row>
    <row r="371" spans="1:40" s="32" customFormat="1" x14ac:dyDescent="0.3">
      <c r="A371" s="11"/>
      <c r="B371" s="40" t="s">
        <v>21</v>
      </c>
      <c r="C371" s="23" t="s">
        <v>24</v>
      </c>
      <c r="D371" s="60"/>
      <c r="E371" s="41"/>
      <c r="F371" s="60"/>
      <c r="G371" s="4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68"/>
    </row>
    <row r="372" spans="1:40" s="32" customFormat="1" x14ac:dyDescent="0.3">
      <c r="A372" s="11"/>
      <c r="B372" s="40" t="s">
        <v>21</v>
      </c>
      <c r="C372" s="23" t="s">
        <v>25</v>
      </c>
      <c r="D372" s="60"/>
      <c r="E372" s="41"/>
      <c r="F372" s="60"/>
      <c r="G372" s="4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68"/>
    </row>
    <row r="373" spans="1:40" s="32" customFormat="1" x14ac:dyDescent="0.3">
      <c r="A373" s="11"/>
      <c r="B373" s="40" t="s">
        <v>21</v>
      </c>
      <c r="C373" s="23" t="s">
        <v>26</v>
      </c>
      <c r="D373" s="60"/>
      <c r="E373" s="41"/>
      <c r="F373" s="60"/>
      <c r="G373" s="4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68"/>
    </row>
    <row r="374" spans="1:40" s="32" customFormat="1" x14ac:dyDescent="0.3">
      <c r="A374" s="11"/>
      <c r="B374" s="40" t="s">
        <v>21</v>
      </c>
      <c r="C374" s="23" t="s">
        <v>27</v>
      </c>
      <c r="D374" s="60"/>
      <c r="E374" s="41"/>
      <c r="F374" s="60"/>
      <c r="G374" s="4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68"/>
    </row>
    <row r="375" spans="1:40" s="32" customFormat="1" x14ac:dyDescent="0.3">
      <c r="A375" s="11"/>
      <c r="B375" s="78"/>
      <c r="C375" s="23"/>
      <c r="D375" s="79"/>
      <c r="E375" s="80"/>
      <c r="F375" s="79"/>
      <c r="G375" s="8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68"/>
    </row>
    <row r="376" spans="1:40" s="32" customFormat="1" x14ac:dyDescent="0.3">
      <c r="A376" s="11"/>
      <c r="B376" s="35" t="s">
        <v>78</v>
      </c>
      <c r="C376" s="28"/>
      <c r="D376" s="65" t="s">
        <v>67</v>
      </c>
      <c r="E376" s="65" t="s">
        <v>68</v>
      </c>
      <c r="F376" s="65" t="s">
        <v>69</v>
      </c>
      <c r="G376" s="65" t="s">
        <v>70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68"/>
    </row>
    <row r="377" spans="1:40" s="32" customFormat="1" x14ac:dyDescent="0.3">
      <c r="A377" s="11"/>
      <c r="B377" s="40" t="s">
        <v>21</v>
      </c>
      <c r="C377" s="23" t="s">
        <v>22</v>
      </c>
      <c r="D377" s="60"/>
      <c r="E377" s="41"/>
      <c r="F377" s="60"/>
      <c r="G377" s="4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68"/>
    </row>
    <row r="378" spans="1:40" s="32" customFormat="1" x14ac:dyDescent="0.3">
      <c r="A378" s="11"/>
      <c r="B378" s="40" t="s">
        <v>21</v>
      </c>
      <c r="C378" s="23" t="s">
        <v>23</v>
      </c>
      <c r="D378" s="60"/>
      <c r="E378" s="41"/>
      <c r="F378" s="60"/>
      <c r="G378" s="4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68"/>
    </row>
    <row r="379" spans="1:40" s="32" customFormat="1" x14ac:dyDescent="0.3">
      <c r="A379" s="11"/>
      <c r="B379" s="40" t="s">
        <v>21</v>
      </c>
      <c r="C379" s="23" t="s">
        <v>24</v>
      </c>
      <c r="D379" s="60"/>
      <c r="E379" s="41"/>
      <c r="F379" s="60"/>
      <c r="G379" s="4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68"/>
    </row>
    <row r="380" spans="1:40" s="32" customFormat="1" x14ac:dyDescent="0.3">
      <c r="A380" s="11"/>
      <c r="B380" s="40" t="s">
        <v>21</v>
      </c>
      <c r="C380" s="23" t="s">
        <v>25</v>
      </c>
      <c r="D380" s="60"/>
      <c r="E380" s="41"/>
      <c r="F380" s="60"/>
      <c r="G380" s="4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68"/>
    </row>
    <row r="381" spans="1:40" s="32" customFormat="1" x14ac:dyDescent="0.3">
      <c r="A381" s="11"/>
      <c r="B381" s="40" t="s">
        <v>21</v>
      </c>
      <c r="C381" s="23" t="s">
        <v>26</v>
      </c>
      <c r="D381" s="60"/>
      <c r="E381" s="41"/>
      <c r="F381" s="60"/>
      <c r="G381" s="4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68"/>
    </row>
    <row r="382" spans="1:40" s="32" customFormat="1" x14ac:dyDescent="0.3">
      <c r="A382" s="11"/>
      <c r="B382" s="40" t="s">
        <v>21</v>
      </c>
      <c r="C382" s="23" t="s">
        <v>27</v>
      </c>
      <c r="D382" s="60"/>
      <c r="E382" s="41"/>
      <c r="F382" s="60"/>
      <c r="G382" s="4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68"/>
    </row>
    <row r="383" spans="1:40" s="32" customFormat="1" x14ac:dyDescent="0.3">
      <c r="A383" s="11"/>
      <c r="B383" s="78"/>
      <c r="C383" s="23"/>
      <c r="D383" s="79"/>
      <c r="E383" s="80"/>
      <c r="F383" s="79"/>
      <c r="G383" s="8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68"/>
    </row>
    <row r="384" spans="1:40" s="32" customFormat="1" x14ac:dyDescent="0.3">
      <c r="A384" s="11"/>
      <c r="B384" s="35" t="s">
        <v>79</v>
      </c>
      <c r="C384" s="28"/>
      <c r="D384" s="65" t="s">
        <v>67</v>
      </c>
      <c r="E384" s="65" t="s">
        <v>68</v>
      </c>
      <c r="F384" s="65" t="s">
        <v>69</v>
      </c>
      <c r="G384" s="65" t="s">
        <v>70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68"/>
    </row>
    <row r="385" spans="1:40" s="32" customFormat="1" x14ac:dyDescent="0.3">
      <c r="A385" s="11"/>
      <c r="B385" s="40" t="s">
        <v>21</v>
      </c>
      <c r="C385" s="23" t="s">
        <v>22</v>
      </c>
      <c r="D385" s="60"/>
      <c r="E385" s="41"/>
      <c r="F385" s="60"/>
      <c r="G385" s="4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68"/>
    </row>
    <row r="386" spans="1:40" s="32" customFormat="1" x14ac:dyDescent="0.3">
      <c r="A386" s="11"/>
      <c r="B386" s="40" t="s">
        <v>21</v>
      </c>
      <c r="C386" s="23" t="s">
        <v>23</v>
      </c>
      <c r="D386" s="60"/>
      <c r="E386" s="41"/>
      <c r="F386" s="60"/>
      <c r="G386" s="4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68"/>
    </row>
    <row r="387" spans="1:40" s="32" customFormat="1" x14ac:dyDescent="0.3">
      <c r="A387" s="11"/>
      <c r="B387" s="40" t="s">
        <v>21</v>
      </c>
      <c r="C387" s="23" t="s">
        <v>24</v>
      </c>
      <c r="D387" s="60"/>
      <c r="E387" s="41"/>
      <c r="F387" s="60"/>
      <c r="G387" s="4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68"/>
    </row>
    <row r="388" spans="1:40" s="32" customFormat="1" x14ac:dyDescent="0.3">
      <c r="A388" s="11"/>
      <c r="B388" s="40" t="s">
        <v>21</v>
      </c>
      <c r="C388" s="23" t="s">
        <v>25</v>
      </c>
      <c r="D388" s="60"/>
      <c r="E388" s="41"/>
      <c r="F388" s="60"/>
      <c r="G388" s="4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68"/>
    </row>
    <row r="389" spans="1:40" s="32" customFormat="1" x14ac:dyDescent="0.3">
      <c r="A389" s="11"/>
      <c r="B389" s="40" t="s">
        <v>21</v>
      </c>
      <c r="C389" s="23" t="s">
        <v>26</v>
      </c>
      <c r="D389" s="60"/>
      <c r="E389" s="41"/>
      <c r="F389" s="60"/>
      <c r="G389" s="4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68"/>
    </row>
    <row r="390" spans="1:40" s="32" customFormat="1" x14ac:dyDescent="0.3">
      <c r="A390" s="11"/>
      <c r="B390" s="40" t="s">
        <v>21</v>
      </c>
      <c r="C390" s="23" t="s">
        <v>27</v>
      </c>
      <c r="D390" s="60"/>
      <c r="E390" s="41"/>
      <c r="F390" s="60"/>
      <c r="G390" s="4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68"/>
    </row>
    <row r="391" spans="1:40" s="32" customFormat="1" x14ac:dyDescent="0.3">
      <c r="A391" s="11"/>
      <c r="B391" s="78"/>
      <c r="C391" s="23"/>
      <c r="D391" s="79"/>
      <c r="E391" s="80"/>
      <c r="F391" s="79"/>
      <c r="G391" s="8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68"/>
    </row>
    <row r="392" spans="1:40" s="32" customFormat="1" x14ac:dyDescent="0.3">
      <c r="A392" s="11"/>
      <c r="B392" s="35" t="s">
        <v>80</v>
      </c>
      <c r="C392" s="28"/>
      <c r="D392" s="65" t="s">
        <v>67</v>
      </c>
      <c r="E392" s="65" t="s">
        <v>68</v>
      </c>
      <c r="F392" s="65" t="s">
        <v>69</v>
      </c>
      <c r="G392" s="65" t="s">
        <v>70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68"/>
    </row>
    <row r="393" spans="1:40" s="32" customFormat="1" x14ac:dyDescent="0.3">
      <c r="A393" s="11"/>
      <c r="B393" s="40" t="s">
        <v>21</v>
      </c>
      <c r="C393" s="23" t="s">
        <v>22</v>
      </c>
      <c r="D393" s="60"/>
      <c r="E393" s="41"/>
      <c r="F393" s="60"/>
      <c r="G393" s="4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68"/>
    </row>
    <row r="394" spans="1:40" s="32" customFormat="1" x14ac:dyDescent="0.3">
      <c r="A394" s="11"/>
      <c r="B394" s="40" t="s">
        <v>21</v>
      </c>
      <c r="C394" s="23" t="s">
        <v>23</v>
      </c>
      <c r="D394" s="60"/>
      <c r="E394" s="41"/>
      <c r="F394" s="60"/>
      <c r="G394" s="4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68"/>
    </row>
    <row r="395" spans="1:40" s="32" customFormat="1" x14ac:dyDescent="0.3">
      <c r="A395" s="11"/>
      <c r="B395" s="40" t="s">
        <v>21</v>
      </c>
      <c r="C395" s="23" t="s">
        <v>24</v>
      </c>
      <c r="D395" s="60"/>
      <c r="E395" s="41"/>
      <c r="F395" s="60"/>
      <c r="G395" s="4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68"/>
    </row>
    <row r="396" spans="1:40" s="32" customFormat="1" x14ac:dyDescent="0.3">
      <c r="A396" s="11"/>
      <c r="B396" s="40" t="s">
        <v>21</v>
      </c>
      <c r="C396" s="23" t="s">
        <v>25</v>
      </c>
      <c r="D396" s="60"/>
      <c r="E396" s="41"/>
      <c r="F396" s="60"/>
      <c r="G396" s="4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68"/>
    </row>
    <row r="397" spans="1:40" s="32" customFormat="1" x14ac:dyDescent="0.3">
      <c r="A397" s="11"/>
      <c r="B397" s="40" t="s">
        <v>21</v>
      </c>
      <c r="C397" s="23" t="s">
        <v>26</v>
      </c>
      <c r="D397" s="60"/>
      <c r="E397" s="41"/>
      <c r="F397" s="60"/>
      <c r="G397" s="4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68"/>
    </row>
    <row r="398" spans="1:40" s="32" customFormat="1" ht="15.75" customHeight="1" x14ac:dyDescent="0.3">
      <c r="A398" s="11"/>
      <c r="B398" s="40" t="s">
        <v>21</v>
      </c>
      <c r="C398" s="23" t="s">
        <v>27</v>
      </c>
      <c r="D398" s="60"/>
      <c r="E398" s="41"/>
      <c r="F398" s="60"/>
      <c r="G398" s="4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68"/>
    </row>
    <row r="399" spans="1:40" s="32" customFormat="1" ht="15.75" customHeight="1" x14ac:dyDescent="0.3">
      <c r="A399" s="11"/>
      <c r="B399" s="78"/>
      <c r="C399" s="23"/>
      <c r="D399" s="79"/>
      <c r="E399" s="80"/>
      <c r="F399" s="79"/>
      <c r="G399" s="8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68"/>
    </row>
    <row r="400" spans="1:40" s="32" customFormat="1" x14ac:dyDescent="0.3">
      <c r="A400" s="11"/>
      <c r="B400" s="35" t="s">
        <v>71</v>
      </c>
      <c r="C400" s="28"/>
      <c r="D400" s="65" t="s">
        <v>67</v>
      </c>
      <c r="E400" s="65" t="s">
        <v>68</v>
      </c>
      <c r="F400" s="65" t="s">
        <v>69</v>
      </c>
      <c r="G400" s="65" t="s">
        <v>70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68"/>
    </row>
    <row r="401" spans="1:40" s="30" customFormat="1" x14ac:dyDescent="0.3">
      <c r="A401" s="11"/>
      <c r="B401" s="42" t="s">
        <v>28</v>
      </c>
      <c r="C401" s="43" t="s">
        <v>32</v>
      </c>
      <c r="D401" s="61">
        <v>6</v>
      </c>
      <c r="E401" s="44">
        <v>25</v>
      </c>
      <c r="F401" s="61">
        <v>390</v>
      </c>
      <c r="G401" s="44">
        <v>31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66"/>
    </row>
    <row r="402" spans="1:40" s="30" customFormat="1" x14ac:dyDescent="0.3">
      <c r="A402" s="11"/>
      <c r="B402" s="42" t="s">
        <v>28</v>
      </c>
      <c r="C402" s="43" t="s">
        <v>31</v>
      </c>
      <c r="D402" s="61">
        <v>11</v>
      </c>
      <c r="E402" s="44">
        <v>46</v>
      </c>
      <c r="F402" s="61">
        <v>244</v>
      </c>
      <c r="G402" s="44">
        <v>12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66"/>
    </row>
    <row r="403" spans="1:40" s="30" customFormat="1" x14ac:dyDescent="0.3">
      <c r="A403" s="11"/>
      <c r="B403" s="42" t="s">
        <v>28</v>
      </c>
      <c r="C403" s="43" t="s">
        <v>30</v>
      </c>
      <c r="D403" s="61">
        <v>10</v>
      </c>
      <c r="E403" s="44">
        <v>30</v>
      </c>
      <c r="F403" s="61">
        <v>466</v>
      </c>
      <c r="G403" s="44">
        <v>26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66"/>
    </row>
    <row r="404" spans="1:40" s="30" customFormat="1" x14ac:dyDescent="0.3">
      <c r="A404" s="11"/>
      <c r="B404" s="42" t="s">
        <v>28</v>
      </c>
      <c r="C404" s="43" t="s">
        <v>29</v>
      </c>
      <c r="D404" s="61">
        <v>14</v>
      </c>
      <c r="E404" s="44">
        <v>64</v>
      </c>
      <c r="F404" s="61">
        <v>729</v>
      </c>
      <c r="G404" s="44">
        <v>31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66"/>
    </row>
    <row r="405" spans="1:40" s="30" customFormat="1" x14ac:dyDescent="0.3">
      <c r="A405" s="11"/>
      <c r="B405" s="81"/>
      <c r="C405" s="43"/>
      <c r="D405" s="95">
        <f>SUM(D401:D404)</f>
        <v>41</v>
      </c>
      <c r="E405" s="95">
        <f t="shared" ref="E405:G405" si="152">SUM(E401:E404)</f>
        <v>165</v>
      </c>
      <c r="F405" s="95">
        <f>SUM(F401:F404)</f>
        <v>1829</v>
      </c>
      <c r="G405" s="95">
        <f t="shared" si="152"/>
        <v>100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66"/>
    </row>
    <row r="406" spans="1:40" s="30" customFormat="1" x14ac:dyDescent="0.3">
      <c r="A406" s="11"/>
      <c r="B406" s="81"/>
      <c r="C406" s="43"/>
      <c r="D406" s="82"/>
      <c r="E406" s="83"/>
      <c r="F406" s="82"/>
      <c r="G406" s="8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66"/>
    </row>
    <row r="407" spans="1:40" s="30" customFormat="1" x14ac:dyDescent="0.3">
      <c r="A407" s="11"/>
      <c r="B407" s="81"/>
      <c r="C407" s="43"/>
      <c r="D407" s="82"/>
      <c r="E407" s="82"/>
      <c r="F407" s="82"/>
      <c r="G407" s="8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66"/>
    </row>
    <row r="408" spans="1:40" s="30" customFormat="1" x14ac:dyDescent="0.3">
      <c r="A408" s="11"/>
      <c r="B408" s="35" t="s">
        <v>72</v>
      </c>
      <c r="C408" s="28"/>
      <c r="D408" s="65" t="s">
        <v>67</v>
      </c>
      <c r="E408" s="65" t="s">
        <v>68</v>
      </c>
      <c r="F408" s="65" t="s">
        <v>69</v>
      </c>
      <c r="G408" s="65" t="s">
        <v>70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66"/>
    </row>
    <row r="409" spans="1:40" s="30" customFormat="1" x14ac:dyDescent="0.3">
      <c r="A409" s="11"/>
      <c r="B409" s="42" t="s">
        <v>28</v>
      </c>
      <c r="C409" s="43" t="s">
        <v>32</v>
      </c>
      <c r="D409" s="61"/>
      <c r="E409" s="44"/>
      <c r="F409" s="61"/>
      <c r="G409" s="4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66"/>
    </row>
    <row r="410" spans="1:40" s="30" customFormat="1" x14ac:dyDescent="0.3">
      <c r="A410" s="11"/>
      <c r="B410" s="42" t="s">
        <v>28</v>
      </c>
      <c r="C410" s="43" t="s">
        <v>31</v>
      </c>
      <c r="D410" s="61"/>
      <c r="E410" s="44"/>
      <c r="F410" s="61"/>
      <c r="G410" s="4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66"/>
    </row>
    <row r="411" spans="1:40" s="30" customFormat="1" x14ac:dyDescent="0.3">
      <c r="A411" s="11"/>
      <c r="B411" s="42" t="s">
        <v>28</v>
      </c>
      <c r="C411" s="43" t="s">
        <v>30</v>
      </c>
      <c r="D411" s="61"/>
      <c r="E411" s="44"/>
      <c r="F411" s="61"/>
      <c r="G411" s="4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66"/>
    </row>
    <row r="412" spans="1:40" s="30" customFormat="1" x14ac:dyDescent="0.3">
      <c r="A412" s="11"/>
      <c r="B412" s="42" t="s">
        <v>28</v>
      </c>
      <c r="C412" s="43" t="s">
        <v>29</v>
      </c>
      <c r="D412" s="61"/>
      <c r="E412" s="44"/>
      <c r="F412" s="61"/>
      <c r="G412" s="4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66"/>
    </row>
    <row r="413" spans="1:40" s="30" customFormat="1" x14ac:dyDescent="0.3">
      <c r="A413" s="11"/>
      <c r="B413" s="81"/>
      <c r="C413" s="43"/>
      <c r="D413" s="95"/>
      <c r="E413" s="95"/>
      <c r="F413" s="95"/>
      <c r="G413" s="9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66"/>
    </row>
    <row r="414" spans="1:40" s="30" customFormat="1" x14ac:dyDescent="0.3">
      <c r="A414" s="11"/>
      <c r="B414" s="81"/>
      <c r="C414" s="43"/>
      <c r="D414" s="82"/>
      <c r="E414" s="83"/>
      <c r="F414" s="82"/>
      <c r="G414" s="8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66"/>
    </row>
    <row r="415" spans="1:40" s="30" customFormat="1" x14ac:dyDescent="0.3">
      <c r="A415" s="11"/>
      <c r="B415" s="81"/>
      <c r="C415" s="43"/>
      <c r="D415" s="82"/>
      <c r="E415" s="83"/>
      <c r="F415" s="82"/>
      <c r="G415" s="8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66"/>
    </row>
    <row r="416" spans="1:40" s="30" customFormat="1" x14ac:dyDescent="0.3">
      <c r="A416" s="11"/>
      <c r="B416" s="35" t="s">
        <v>73</v>
      </c>
      <c r="C416" s="28"/>
      <c r="D416" s="65" t="s">
        <v>67</v>
      </c>
      <c r="E416" s="65" t="s">
        <v>68</v>
      </c>
      <c r="F416" s="65" t="s">
        <v>69</v>
      </c>
      <c r="G416" s="65" t="s">
        <v>70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66"/>
    </row>
    <row r="417" spans="1:40" s="30" customFormat="1" x14ac:dyDescent="0.3">
      <c r="A417" s="11"/>
      <c r="B417" s="42" t="s">
        <v>28</v>
      </c>
      <c r="C417" s="43" t="s">
        <v>32</v>
      </c>
      <c r="D417" s="61"/>
      <c r="E417" s="44"/>
      <c r="F417" s="61"/>
      <c r="G417" s="4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66"/>
    </row>
    <row r="418" spans="1:40" s="30" customFormat="1" x14ac:dyDescent="0.3">
      <c r="A418" s="11"/>
      <c r="B418" s="42" t="s">
        <v>28</v>
      </c>
      <c r="C418" s="43" t="s">
        <v>31</v>
      </c>
      <c r="D418" s="61"/>
      <c r="E418" s="44"/>
      <c r="F418" s="61"/>
      <c r="G418" s="4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66"/>
    </row>
    <row r="419" spans="1:40" s="30" customFormat="1" x14ac:dyDescent="0.3">
      <c r="A419" s="11"/>
      <c r="B419" s="42" t="s">
        <v>28</v>
      </c>
      <c r="C419" s="43" t="s">
        <v>30</v>
      </c>
      <c r="D419" s="61"/>
      <c r="E419" s="44"/>
      <c r="F419" s="61"/>
      <c r="G419" s="4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66"/>
    </row>
    <row r="420" spans="1:40" s="30" customFormat="1" x14ac:dyDescent="0.3">
      <c r="A420" s="11"/>
      <c r="B420" s="42" t="s">
        <v>28</v>
      </c>
      <c r="C420" s="43" t="s">
        <v>29</v>
      </c>
      <c r="D420" s="61"/>
      <c r="E420" s="44"/>
      <c r="F420" s="61"/>
      <c r="G420" s="4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66"/>
    </row>
    <row r="421" spans="1:40" s="30" customFormat="1" x14ac:dyDescent="0.3">
      <c r="A421" s="11"/>
      <c r="B421" s="81"/>
      <c r="C421" s="43"/>
      <c r="D421" s="95"/>
      <c r="E421" s="95"/>
      <c r="F421" s="95"/>
      <c r="G421" s="9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66"/>
    </row>
    <row r="422" spans="1:40" s="30" customFormat="1" x14ac:dyDescent="0.3">
      <c r="A422" s="11"/>
      <c r="B422" s="81"/>
      <c r="C422" s="43"/>
      <c r="D422" s="82"/>
      <c r="E422" s="83"/>
      <c r="F422" s="82"/>
      <c r="G422" s="8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66"/>
    </row>
    <row r="423" spans="1:40" s="30" customFormat="1" x14ac:dyDescent="0.3">
      <c r="A423" s="11"/>
      <c r="B423" s="81"/>
      <c r="C423" s="43"/>
      <c r="D423" s="82"/>
      <c r="E423" s="83"/>
      <c r="F423" s="82"/>
      <c r="G423" s="8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66"/>
    </row>
    <row r="424" spans="1:40" s="30" customFormat="1" x14ac:dyDescent="0.3">
      <c r="A424" s="11"/>
      <c r="B424" s="35" t="s">
        <v>81</v>
      </c>
      <c r="C424" s="28"/>
      <c r="D424" s="65" t="s">
        <v>67</v>
      </c>
      <c r="E424" s="65" t="s">
        <v>68</v>
      </c>
      <c r="F424" s="65" t="s">
        <v>69</v>
      </c>
      <c r="G424" s="65" t="s">
        <v>70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66"/>
    </row>
    <row r="425" spans="1:40" s="30" customFormat="1" x14ac:dyDescent="0.3">
      <c r="A425" s="11"/>
      <c r="B425" s="42" t="s">
        <v>28</v>
      </c>
      <c r="C425" s="43" t="s">
        <v>32</v>
      </c>
      <c r="D425" s="61"/>
      <c r="E425" s="44"/>
      <c r="F425" s="61"/>
      <c r="G425" s="4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66"/>
    </row>
    <row r="426" spans="1:40" s="30" customFormat="1" x14ac:dyDescent="0.3">
      <c r="A426" s="11"/>
      <c r="B426" s="42" t="s">
        <v>28</v>
      </c>
      <c r="C426" s="43" t="s">
        <v>31</v>
      </c>
      <c r="D426" s="61"/>
      <c r="E426" s="44"/>
      <c r="F426" s="61"/>
      <c r="G426" s="4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66"/>
    </row>
    <row r="427" spans="1:40" s="30" customFormat="1" x14ac:dyDescent="0.3">
      <c r="A427" s="11"/>
      <c r="B427" s="42" t="s">
        <v>28</v>
      </c>
      <c r="C427" s="43" t="s">
        <v>30</v>
      </c>
      <c r="D427" s="61"/>
      <c r="E427" s="44"/>
      <c r="F427" s="61"/>
      <c r="G427" s="4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66"/>
    </row>
    <row r="428" spans="1:40" s="30" customFormat="1" x14ac:dyDescent="0.3">
      <c r="A428" s="11"/>
      <c r="B428" s="42" t="s">
        <v>28</v>
      </c>
      <c r="C428" s="43" t="s">
        <v>29</v>
      </c>
      <c r="D428" s="61"/>
      <c r="E428" s="44"/>
      <c r="F428" s="61"/>
      <c r="G428" s="4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66"/>
    </row>
    <row r="429" spans="1:40" s="30" customFormat="1" x14ac:dyDescent="0.3">
      <c r="A429" s="11"/>
      <c r="B429" s="81"/>
      <c r="C429" s="43"/>
      <c r="D429" s="95"/>
      <c r="E429" s="95"/>
      <c r="F429" s="95"/>
      <c r="G429" s="9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66"/>
    </row>
    <row r="430" spans="1:40" s="30" customFormat="1" x14ac:dyDescent="0.3">
      <c r="A430" s="11"/>
      <c r="B430" s="81"/>
      <c r="C430" s="43"/>
      <c r="D430" s="82"/>
      <c r="E430" s="83"/>
      <c r="F430" s="82"/>
      <c r="G430" s="8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66"/>
    </row>
    <row r="431" spans="1:40" s="30" customFormat="1" x14ac:dyDescent="0.3">
      <c r="A431" s="11"/>
      <c r="B431" s="81"/>
      <c r="C431" s="43"/>
      <c r="D431" s="82"/>
      <c r="E431" s="83"/>
      <c r="F431" s="82"/>
      <c r="G431" s="8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66"/>
    </row>
    <row r="432" spans="1:40" s="30" customFormat="1" x14ac:dyDescent="0.3">
      <c r="A432" s="11"/>
      <c r="B432" s="35" t="s">
        <v>82</v>
      </c>
      <c r="C432" s="28"/>
      <c r="D432" s="65" t="s">
        <v>67</v>
      </c>
      <c r="E432" s="65" t="s">
        <v>68</v>
      </c>
      <c r="F432" s="65" t="s">
        <v>69</v>
      </c>
      <c r="G432" s="65" t="s">
        <v>70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66"/>
    </row>
    <row r="433" spans="1:40" s="30" customFormat="1" x14ac:dyDescent="0.3">
      <c r="A433" s="11"/>
      <c r="B433" s="42" t="s">
        <v>28</v>
      </c>
      <c r="C433" s="43" t="s">
        <v>32</v>
      </c>
      <c r="D433" s="61"/>
      <c r="E433" s="44"/>
      <c r="F433" s="61"/>
      <c r="G433" s="4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66"/>
    </row>
    <row r="434" spans="1:40" s="30" customFormat="1" x14ac:dyDescent="0.3">
      <c r="A434" s="11"/>
      <c r="B434" s="42" t="s">
        <v>28</v>
      </c>
      <c r="C434" s="43" t="s">
        <v>31</v>
      </c>
      <c r="D434" s="61"/>
      <c r="E434" s="44"/>
      <c r="F434" s="61"/>
      <c r="G434" s="4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66"/>
    </row>
    <row r="435" spans="1:40" s="30" customFormat="1" x14ac:dyDescent="0.3">
      <c r="A435" s="11"/>
      <c r="B435" s="42" t="s">
        <v>28</v>
      </c>
      <c r="C435" s="43" t="s">
        <v>30</v>
      </c>
      <c r="D435" s="61"/>
      <c r="E435" s="44"/>
      <c r="F435" s="61"/>
      <c r="G435" s="4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66"/>
    </row>
    <row r="436" spans="1:40" s="30" customFormat="1" x14ac:dyDescent="0.3">
      <c r="A436" s="11"/>
      <c r="B436" s="42" t="s">
        <v>28</v>
      </c>
      <c r="C436" s="43" t="s">
        <v>29</v>
      </c>
      <c r="D436" s="61"/>
      <c r="E436" s="44"/>
      <c r="F436" s="61"/>
      <c r="G436" s="4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66"/>
    </row>
    <row r="437" spans="1:40" s="30" customFormat="1" x14ac:dyDescent="0.3">
      <c r="A437" s="11"/>
      <c r="B437" s="81"/>
      <c r="C437" s="43"/>
      <c r="D437" s="95"/>
      <c r="E437" s="95"/>
      <c r="F437" s="95"/>
      <c r="G437" s="9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66"/>
    </row>
    <row r="438" spans="1:40" s="30" customFormat="1" x14ac:dyDescent="0.3">
      <c r="A438" s="11"/>
      <c r="B438" s="81"/>
      <c r="C438" s="43"/>
      <c r="D438" s="82"/>
      <c r="E438" s="83"/>
      <c r="F438" s="82"/>
      <c r="G438" s="8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66"/>
    </row>
    <row r="439" spans="1:40" s="30" customFormat="1" x14ac:dyDescent="0.3">
      <c r="A439" s="11"/>
      <c r="B439" s="81"/>
      <c r="C439" s="43"/>
      <c r="D439" s="82"/>
      <c r="E439" s="83"/>
      <c r="F439" s="82"/>
      <c r="G439" s="8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66"/>
    </row>
    <row r="440" spans="1:40" s="30" customFormat="1" x14ac:dyDescent="0.3">
      <c r="A440" s="11"/>
      <c r="B440" s="35" t="s">
        <v>74</v>
      </c>
      <c r="C440" s="28"/>
      <c r="D440" s="65" t="s">
        <v>67</v>
      </c>
      <c r="E440" s="65" t="s">
        <v>68</v>
      </c>
      <c r="F440" s="65" t="s">
        <v>69</v>
      </c>
      <c r="G440" s="65" t="s">
        <v>70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66"/>
    </row>
    <row r="441" spans="1:40" s="30" customFormat="1" x14ac:dyDescent="0.3">
      <c r="A441" s="11"/>
      <c r="B441" s="42" t="s">
        <v>28</v>
      </c>
      <c r="C441" s="43" t="s">
        <v>32</v>
      </c>
      <c r="D441" s="61"/>
      <c r="E441" s="44"/>
      <c r="F441" s="61"/>
      <c r="G441" s="4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66"/>
    </row>
    <row r="442" spans="1:40" s="30" customFormat="1" x14ac:dyDescent="0.3">
      <c r="A442" s="11"/>
      <c r="B442" s="42" t="s">
        <v>28</v>
      </c>
      <c r="C442" s="43" t="s">
        <v>31</v>
      </c>
      <c r="D442" s="61"/>
      <c r="E442" s="44"/>
      <c r="F442" s="61"/>
      <c r="G442" s="4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66"/>
    </row>
    <row r="443" spans="1:40" s="30" customFormat="1" x14ac:dyDescent="0.3">
      <c r="A443" s="11"/>
      <c r="B443" s="42" t="s">
        <v>28</v>
      </c>
      <c r="C443" s="43" t="s">
        <v>30</v>
      </c>
      <c r="D443" s="61"/>
      <c r="E443" s="44"/>
      <c r="F443" s="61"/>
      <c r="G443" s="4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66"/>
    </row>
    <row r="444" spans="1:40" s="30" customFormat="1" x14ac:dyDescent="0.3">
      <c r="A444" s="11"/>
      <c r="B444" s="42" t="s">
        <v>28</v>
      </c>
      <c r="C444" s="43" t="s">
        <v>29</v>
      </c>
      <c r="D444" s="61"/>
      <c r="E444" s="44"/>
      <c r="F444" s="61"/>
      <c r="G444" s="4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66"/>
    </row>
    <row r="445" spans="1:40" s="30" customFormat="1" x14ac:dyDescent="0.3">
      <c r="A445" s="11"/>
      <c r="B445" s="81"/>
      <c r="C445" s="43"/>
      <c r="D445" s="95"/>
      <c r="E445" s="95"/>
      <c r="F445" s="95"/>
      <c r="G445" s="9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66"/>
    </row>
    <row r="446" spans="1:40" s="30" customFormat="1" x14ac:dyDescent="0.3">
      <c r="A446" s="11"/>
      <c r="B446" s="81"/>
      <c r="C446" s="43"/>
      <c r="D446" s="82"/>
      <c r="E446" s="83"/>
      <c r="F446" s="82"/>
      <c r="G446" s="8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66"/>
    </row>
    <row r="447" spans="1:40" s="30" customFormat="1" x14ac:dyDescent="0.3">
      <c r="A447" s="11"/>
      <c r="B447" s="81"/>
      <c r="C447" s="43"/>
      <c r="D447" s="82"/>
      <c r="E447" s="83"/>
      <c r="F447" s="82"/>
      <c r="G447" s="8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66"/>
    </row>
    <row r="448" spans="1:40" s="30" customFormat="1" x14ac:dyDescent="0.3">
      <c r="A448" s="11"/>
      <c r="B448" s="35" t="s">
        <v>75</v>
      </c>
      <c r="C448" s="28"/>
      <c r="D448" s="65" t="s">
        <v>67</v>
      </c>
      <c r="E448" s="65" t="s">
        <v>68</v>
      </c>
      <c r="F448" s="65" t="s">
        <v>69</v>
      </c>
      <c r="G448" s="65" t="s">
        <v>70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66"/>
    </row>
    <row r="449" spans="1:40" s="30" customFormat="1" x14ac:dyDescent="0.3">
      <c r="A449" s="11"/>
      <c r="B449" s="42" t="s">
        <v>28</v>
      </c>
      <c r="C449" s="43" t="s">
        <v>32</v>
      </c>
      <c r="D449" s="61"/>
      <c r="E449" s="44"/>
      <c r="F449" s="61"/>
      <c r="G449" s="4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66"/>
    </row>
    <row r="450" spans="1:40" s="30" customFormat="1" x14ac:dyDescent="0.3">
      <c r="A450" s="11"/>
      <c r="B450" s="42" t="s">
        <v>28</v>
      </c>
      <c r="C450" s="43" t="s">
        <v>31</v>
      </c>
      <c r="D450" s="61"/>
      <c r="E450" s="44"/>
      <c r="F450" s="61"/>
      <c r="G450" s="4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66"/>
    </row>
    <row r="451" spans="1:40" s="30" customFormat="1" x14ac:dyDescent="0.3">
      <c r="A451" s="11"/>
      <c r="B451" s="42" t="s">
        <v>28</v>
      </c>
      <c r="C451" s="43" t="s">
        <v>30</v>
      </c>
      <c r="D451" s="61"/>
      <c r="E451" s="44"/>
      <c r="F451" s="61"/>
      <c r="G451" s="4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66"/>
    </row>
    <row r="452" spans="1:40" s="30" customFormat="1" x14ac:dyDescent="0.3">
      <c r="A452" s="11"/>
      <c r="B452" s="42" t="s">
        <v>28</v>
      </c>
      <c r="C452" s="43" t="s">
        <v>29</v>
      </c>
      <c r="D452" s="61"/>
      <c r="E452" s="44"/>
      <c r="F452" s="61"/>
      <c r="G452" s="4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66"/>
    </row>
    <row r="453" spans="1:40" s="30" customFormat="1" x14ac:dyDescent="0.3">
      <c r="A453" s="11"/>
      <c r="B453" s="81"/>
      <c r="C453" s="43"/>
      <c r="D453" s="95"/>
      <c r="E453" s="95"/>
      <c r="F453" s="95"/>
      <c r="G453" s="9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66"/>
    </row>
    <row r="454" spans="1:40" s="30" customFormat="1" x14ac:dyDescent="0.3">
      <c r="A454" s="11"/>
      <c r="B454" s="81"/>
      <c r="C454" s="43"/>
      <c r="D454" s="82"/>
      <c r="E454" s="83"/>
      <c r="F454" s="82"/>
      <c r="G454" s="8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66"/>
    </row>
    <row r="455" spans="1:40" s="30" customFormat="1" x14ac:dyDescent="0.3">
      <c r="A455" s="11"/>
      <c r="B455" s="81"/>
      <c r="C455" s="43"/>
      <c r="D455" s="82"/>
      <c r="E455" s="83"/>
      <c r="F455" s="82"/>
      <c r="G455" s="8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66"/>
    </row>
    <row r="456" spans="1:40" s="30" customFormat="1" x14ac:dyDescent="0.3">
      <c r="A456" s="11"/>
      <c r="B456" s="35" t="s">
        <v>76</v>
      </c>
      <c r="C456" s="28"/>
      <c r="D456" s="65" t="s">
        <v>67</v>
      </c>
      <c r="E456" s="65" t="s">
        <v>68</v>
      </c>
      <c r="F456" s="65" t="s">
        <v>69</v>
      </c>
      <c r="G456" s="65" t="s">
        <v>70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66"/>
    </row>
    <row r="457" spans="1:40" s="30" customFormat="1" x14ac:dyDescent="0.3">
      <c r="A457" s="11"/>
      <c r="B457" s="42" t="s">
        <v>28</v>
      </c>
      <c r="C457" s="43" t="s">
        <v>32</v>
      </c>
      <c r="D457" s="61"/>
      <c r="E457" s="44"/>
      <c r="F457" s="61"/>
      <c r="G457" s="4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66"/>
    </row>
    <row r="458" spans="1:40" s="30" customFormat="1" x14ac:dyDescent="0.3">
      <c r="A458" s="11"/>
      <c r="B458" s="42" t="s">
        <v>28</v>
      </c>
      <c r="C458" s="43" t="s">
        <v>31</v>
      </c>
      <c r="D458" s="61"/>
      <c r="E458" s="44"/>
      <c r="F458" s="61"/>
      <c r="G458" s="4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66"/>
    </row>
    <row r="459" spans="1:40" s="30" customFormat="1" x14ac:dyDescent="0.3">
      <c r="A459" s="11"/>
      <c r="B459" s="42" t="s">
        <v>28</v>
      </c>
      <c r="C459" s="43" t="s">
        <v>30</v>
      </c>
      <c r="D459" s="61"/>
      <c r="E459" s="44"/>
      <c r="F459" s="61"/>
      <c r="G459" s="4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66"/>
    </row>
    <row r="460" spans="1:40" s="30" customFormat="1" x14ac:dyDescent="0.3">
      <c r="A460" s="11"/>
      <c r="B460" s="42" t="s">
        <v>28</v>
      </c>
      <c r="C460" s="43" t="s">
        <v>29</v>
      </c>
      <c r="D460" s="61"/>
      <c r="E460" s="44"/>
      <c r="F460" s="61"/>
      <c r="G460" s="4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66"/>
    </row>
    <row r="461" spans="1:40" s="30" customFormat="1" x14ac:dyDescent="0.3">
      <c r="A461" s="11"/>
      <c r="B461" s="81"/>
      <c r="C461" s="43"/>
      <c r="D461" s="95"/>
      <c r="E461" s="95"/>
      <c r="F461" s="95"/>
      <c r="G461" s="9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66"/>
    </row>
    <row r="462" spans="1:40" s="30" customFormat="1" x14ac:dyDescent="0.3">
      <c r="A462" s="11"/>
      <c r="B462" s="81"/>
      <c r="C462" s="43"/>
      <c r="D462" s="82"/>
      <c r="E462" s="83"/>
      <c r="F462" s="82"/>
      <c r="G462" s="8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66"/>
    </row>
    <row r="463" spans="1:40" s="30" customFormat="1" x14ac:dyDescent="0.3">
      <c r="A463" s="11"/>
      <c r="B463" s="81"/>
      <c r="C463" s="43"/>
      <c r="D463" s="82"/>
      <c r="E463" s="83"/>
      <c r="F463" s="82"/>
      <c r="G463" s="8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66"/>
    </row>
    <row r="464" spans="1:40" s="30" customFormat="1" x14ac:dyDescent="0.3">
      <c r="A464" s="11"/>
      <c r="B464" s="35" t="s">
        <v>77</v>
      </c>
      <c r="C464" s="28"/>
      <c r="D464" s="65" t="s">
        <v>67</v>
      </c>
      <c r="E464" s="65" t="s">
        <v>68</v>
      </c>
      <c r="F464" s="65" t="s">
        <v>69</v>
      </c>
      <c r="G464" s="65" t="s">
        <v>70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66"/>
    </row>
    <row r="465" spans="1:40" s="30" customFormat="1" x14ac:dyDescent="0.3">
      <c r="A465" s="11"/>
      <c r="B465" s="42" t="s">
        <v>28</v>
      </c>
      <c r="C465" s="43" t="s">
        <v>32</v>
      </c>
      <c r="D465" s="61"/>
      <c r="E465" s="44"/>
      <c r="F465" s="61"/>
      <c r="G465" s="4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66"/>
    </row>
    <row r="466" spans="1:40" s="30" customFormat="1" x14ac:dyDescent="0.3">
      <c r="A466" s="11"/>
      <c r="B466" s="42" t="s">
        <v>28</v>
      </c>
      <c r="C466" s="43" t="s">
        <v>31</v>
      </c>
      <c r="D466" s="61"/>
      <c r="E466" s="44"/>
      <c r="F466" s="61"/>
      <c r="G466" s="4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66"/>
    </row>
    <row r="467" spans="1:40" s="30" customFormat="1" x14ac:dyDescent="0.3">
      <c r="A467" s="11"/>
      <c r="B467" s="42" t="s">
        <v>28</v>
      </c>
      <c r="C467" s="43" t="s">
        <v>30</v>
      </c>
      <c r="D467" s="61"/>
      <c r="E467" s="44"/>
      <c r="F467" s="61"/>
      <c r="G467" s="4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66"/>
    </row>
    <row r="468" spans="1:40" s="30" customFormat="1" x14ac:dyDescent="0.3">
      <c r="A468" s="11"/>
      <c r="B468" s="42" t="s">
        <v>28</v>
      </c>
      <c r="C468" s="43" t="s">
        <v>29</v>
      </c>
      <c r="D468" s="61"/>
      <c r="E468" s="44"/>
      <c r="F468" s="61"/>
      <c r="G468" s="4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66"/>
    </row>
    <row r="469" spans="1:40" s="30" customFormat="1" x14ac:dyDescent="0.3">
      <c r="A469" s="11"/>
      <c r="B469" s="81"/>
      <c r="C469" s="43"/>
      <c r="D469" s="82"/>
      <c r="E469" s="83"/>
      <c r="F469" s="82"/>
      <c r="G469" s="8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66"/>
    </row>
    <row r="470" spans="1:40" s="30" customFormat="1" x14ac:dyDescent="0.3">
      <c r="A470" s="11"/>
      <c r="B470" s="81"/>
      <c r="C470" s="43"/>
      <c r="D470" s="82"/>
      <c r="E470" s="83"/>
      <c r="F470" s="82"/>
      <c r="G470" s="8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66"/>
    </row>
    <row r="471" spans="1:40" s="30" customFormat="1" x14ac:dyDescent="0.3">
      <c r="A471" s="11"/>
      <c r="B471" s="81"/>
      <c r="C471" s="43"/>
      <c r="D471" s="82"/>
      <c r="E471" s="83"/>
      <c r="F471" s="82"/>
      <c r="G471" s="8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66"/>
    </row>
    <row r="472" spans="1:40" s="30" customFormat="1" x14ac:dyDescent="0.3">
      <c r="A472" s="11"/>
      <c r="B472" s="35" t="s">
        <v>78</v>
      </c>
      <c r="C472" s="28"/>
      <c r="D472" s="65" t="s">
        <v>67</v>
      </c>
      <c r="E472" s="65" t="s">
        <v>68</v>
      </c>
      <c r="F472" s="65" t="s">
        <v>69</v>
      </c>
      <c r="G472" s="65" t="s">
        <v>70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66"/>
    </row>
    <row r="473" spans="1:40" s="30" customFormat="1" x14ac:dyDescent="0.3">
      <c r="A473" s="11"/>
      <c r="B473" s="42" t="s">
        <v>28</v>
      </c>
      <c r="C473" s="43" t="s">
        <v>32</v>
      </c>
      <c r="D473" s="61"/>
      <c r="E473" s="44"/>
      <c r="F473" s="61"/>
      <c r="G473" s="4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66"/>
    </row>
    <row r="474" spans="1:40" s="30" customFormat="1" x14ac:dyDescent="0.3">
      <c r="A474" s="11"/>
      <c r="B474" s="42" t="s">
        <v>28</v>
      </c>
      <c r="C474" s="43" t="s">
        <v>31</v>
      </c>
      <c r="D474" s="61"/>
      <c r="E474" s="44"/>
      <c r="F474" s="61"/>
      <c r="G474" s="4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66"/>
    </row>
    <row r="475" spans="1:40" s="30" customFormat="1" x14ac:dyDescent="0.3">
      <c r="A475" s="11"/>
      <c r="B475" s="42" t="s">
        <v>28</v>
      </c>
      <c r="C475" s="43" t="s">
        <v>30</v>
      </c>
      <c r="D475" s="61"/>
      <c r="E475" s="44"/>
      <c r="F475" s="61"/>
      <c r="G475" s="4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66"/>
    </row>
    <row r="476" spans="1:40" s="30" customFormat="1" x14ac:dyDescent="0.3">
      <c r="A476" s="11"/>
      <c r="B476" s="42" t="s">
        <v>28</v>
      </c>
      <c r="C476" s="43" t="s">
        <v>29</v>
      </c>
      <c r="D476" s="61"/>
      <c r="E476" s="44"/>
      <c r="F476" s="61"/>
      <c r="G476" s="4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66"/>
    </row>
    <row r="477" spans="1:40" s="30" customFormat="1" x14ac:dyDescent="0.3">
      <c r="A477" s="11"/>
      <c r="B477" s="81"/>
      <c r="C477" s="43"/>
      <c r="D477" s="82"/>
      <c r="E477" s="83"/>
      <c r="F477" s="82"/>
      <c r="G477" s="8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66"/>
    </row>
    <row r="478" spans="1:40" s="30" customFormat="1" x14ac:dyDescent="0.3">
      <c r="A478" s="11"/>
      <c r="B478" s="81"/>
      <c r="C478" s="43"/>
      <c r="D478" s="82"/>
      <c r="E478" s="83"/>
      <c r="F478" s="82"/>
      <c r="G478" s="8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66"/>
    </row>
    <row r="479" spans="1:40" s="30" customFormat="1" x14ac:dyDescent="0.3">
      <c r="A479" s="11"/>
      <c r="B479" s="81"/>
      <c r="C479" s="43"/>
      <c r="D479" s="82"/>
      <c r="E479" s="83"/>
      <c r="F479" s="82"/>
      <c r="G479" s="8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66"/>
    </row>
    <row r="480" spans="1:40" s="30" customFormat="1" x14ac:dyDescent="0.3">
      <c r="A480" s="11"/>
      <c r="B480" s="35" t="s">
        <v>79</v>
      </c>
      <c r="C480" s="28"/>
      <c r="D480" s="65" t="s">
        <v>67</v>
      </c>
      <c r="E480" s="65" t="s">
        <v>68</v>
      </c>
      <c r="F480" s="65" t="s">
        <v>69</v>
      </c>
      <c r="G480" s="65" t="s">
        <v>70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66"/>
    </row>
    <row r="481" spans="1:40" s="30" customFormat="1" x14ac:dyDescent="0.3">
      <c r="A481" s="11"/>
      <c r="B481" s="42" t="s">
        <v>28</v>
      </c>
      <c r="C481" s="43" t="s">
        <v>32</v>
      </c>
      <c r="D481" s="61"/>
      <c r="E481" s="44"/>
      <c r="F481" s="61"/>
      <c r="G481" s="4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66"/>
    </row>
    <row r="482" spans="1:40" s="30" customFormat="1" x14ac:dyDescent="0.3">
      <c r="A482" s="11"/>
      <c r="B482" s="42" t="s">
        <v>28</v>
      </c>
      <c r="C482" s="43" t="s">
        <v>31</v>
      </c>
      <c r="D482" s="61"/>
      <c r="E482" s="44"/>
      <c r="F482" s="61"/>
      <c r="G482" s="4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66"/>
    </row>
    <row r="483" spans="1:40" s="30" customFormat="1" x14ac:dyDescent="0.3">
      <c r="A483" s="11"/>
      <c r="B483" s="42" t="s">
        <v>28</v>
      </c>
      <c r="C483" s="43" t="s">
        <v>30</v>
      </c>
      <c r="D483" s="61"/>
      <c r="E483" s="44"/>
      <c r="F483" s="61"/>
      <c r="G483" s="4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66"/>
    </row>
    <row r="484" spans="1:40" s="30" customFormat="1" x14ac:dyDescent="0.3">
      <c r="A484" s="11"/>
      <c r="B484" s="42" t="s">
        <v>28</v>
      </c>
      <c r="C484" s="43" t="s">
        <v>29</v>
      </c>
      <c r="D484" s="61"/>
      <c r="E484" s="44"/>
      <c r="F484" s="61"/>
      <c r="G484" s="4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66"/>
    </row>
    <row r="485" spans="1:40" s="30" customFormat="1" x14ac:dyDescent="0.3">
      <c r="A485" s="11"/>
      <c r="B485" s="81"/>
      <c r="C485" s="43"/>
      <c r="D485" s="82"/>
      <c r="E485" s="83"/>
      <c r="F485" s="82"/>
      <c r="G485" s="8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66"/>
    </row>
    <row r="486" spans="1:40" s="30" customFormat="1" x14ac:dyDescent="0.3">
      <c r="A486" s="11"/>
      <c r="B486" s="81"/>
      <c r="C486" s="43"/>
      <c r="D486" s="82"/>
      <c r="E486" s="83"/>
      <c r="F486" s="82"/>
      <c r="G486" s="8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66"/>
    </row>
    <row r="487" spans="1:40" s="30" customFormat="1" x14ac:dyDescent="0.3">
      <c r="A487" s="11"/>
      <c r="B487" s="81"/>
      <c r="C487" s="43"/>
      <c r="D487" s="82"/>
      <c r="E487" s="83"/>
      <c r="F487" s="82"/>
      <c r="G487" s="8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66"/>
    </row>
    <row r="488" spans="1:40" s="30" customFormat="1" x14ac:dyDescent="0.3">
      <c r="A488" s="11"/>
      <c r="B488" s="35" t="s">
        <v>80</v>
      </c>
      <c r="C488" s="28"/>
      <c r="D488" s="65" t="s">
        <v>67</v>
      </c>
      <c r="E488" s="65" t="s">
        <v>68</v>
      </c>
      <c r="F488" s="65" t="s">
        <v>69</v>
      </c>
      <c r="G488" s="65" t="s">
        <v>70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66"/>
    </row>
    <row r="489" spans="1:40" s="30" customFormat="1" x14ac:dyDescent="0.3">
      <c r="A489" s="11"/>
      <c r="B489" s="42" t="s">
        <v>28</v>
      </c>
      <c r="C489" s="43" t="s">
        <v>32</v>
      </c>
      <c r="D489" s="61"/>
      <c r="E489" s="44"/>
      <c r="F489" s="61"/>
      <c r="G489" s="4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66"/>
    </row>
    <row r="490" spans="1:40" s="30" customFormat="1" x14ac:dyDescent="0.3">
      <c r="A490" s="11"/>
      <c r="B490" s="42" t="s">
        <v>28</v>
      </c>
      <c r="C490" s="43" t="s">
        <v>31</v>
      </c>
      <c r="D490" s="61"/>
      <c r="E490" s="44"/>
      <c r="F490" s="61"/>
      <c r="G490" s="4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66"/>
    </row>
    <row r="491" spans="1:40" s="30" customFormat="1" x14ac:dyDescent="0.3">
      <c r="A491" s="11"/>
      <c r="B491" s="42" t="s">
        <v>28</v>
      </c>
      <c r="C491" s="43" t="s">
        <v>30</v>
      </c>
      <c r="D491" s="61"/>
      <c r="E491" s="44"/>
      <c r="F491" s="61"/>
      <c r="G491" s="4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66"/>
    </row>
    <row r="492" spans="1:40" s="30" customFormat="1" x14ac:dyDescent="0.3">
      <c r="A492" s="11"/>
      <c r="B492" s="42" t="s">
        <v>28</v>
      </c>
      <c r="C492" s="43" t="s">
        <v>29</v>
      </c>
      <c r="D492" s="61"/>
      <c r="E492" s="44"/>
      <c r="F492" s="61"/>
      <c r="G492" s="4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66"/>
    </row>
    <row r="493" spans="1:40" s="30" customFormat="1" x14ac:dyDescent="0.3">
      <c r="A493" s="11"/>
      <c r="B493" s="81"/>
      <c r="C493" s="43"/>
      <c r="D493" s="82"/>
      <c r="E493" s="83"/>
      <c r="F493" s="82"/>
      <c r="G493" s="8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66"/>
    </row>
    <row r="494" spans="1:40" s="30" customFormat="1" x14ac:dyDescent="0.3">
      <c r="A494" s="11"/>
      <c r="B494" s="81"/>
      <c r="C494" s="43"/>
      <c r="D494" s="82"/>
      <c r="E494" s="83"/>
      <c r="F494" s="82"/>
      <c r="G494" s="8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66"/>
    </row>
    <row r="495" spans="1:40" s="30" customFormat="1" x14ac:dyDescent="0.3">
      <c r="A495" s="11"/>
      <c r="B495" s="81"/>
      <c r="C495" s="43"/>
      <c r="D495" s="82"/>
      <c r="E495" s="83"/>
      <c r="F495" s="82"/>
      <c r="G495" s="8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66"/>
    </row>
    <row r="496" spans="1:40" s="28" customFormat="1" x14ac:dyDescent="0.3">
      <c r="A496" s="11"/>
      <c r="B496" s="35" t="s">
        <v>71</v>
      </c>
      <c r="D496" s="65" t="s">
        <v>67</v>
      </c>
      <c r="E496" s="65" t="s">
        <v>68</v>
      </c>
      <c r="F496" s="65" t="s">
        <v>69</v>
      </c>
      <c r="G496" s="65" t="s">
        <v>70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67"/>
    </row>
    <row r="497" spans="1:40" s="32" customFormat="1" x14ac:dyDescent="0.3">
      <c r="A497" s="11"/>
      <c r="B497" s="45" t="s">
        <v>33</v>
      </c>
      <c r="C497" s="46" t="s">
        <v>34</v>
      </c>
      <c r="D497" s="62">
        <v>1</v>
      </c>
      <c r="E497" s="47">
        <v>23</v>
      </c>
      <c r="F497" s="62">
        <v>412</v>
      </c>
      <c r="G497" s="47">
        <v>38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68"/>
    </row>
    <row r="498" spans="1:40" s="32" customFormat="1" x14ac:dyDescent="0.3">
      <c r="A498" s="11"/>
      <c r="B498" s="45" t="s">
        <v>33</v>
      </c>
      <c r="C498" s="46" t="s">
        <v>35</v>
      </c>
      <c r="D498" s="62">
        <v>0</v>
      </c>
      <c r="E498" s="47">
        <v>20</v>
      </c>
      <c r="F498" s="62">
        <v>821</v>
      </c>
      <c r="G498" s="47">
        <v>40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68"/>
    </row>
    <row r="499" spans="1:40" s="32" customFormat="1" x14ac:dyDescent="0.3">
      <c r="A499" s="11"/>
      <c r="B499" s="45" t="s">
        <v>33</v>
      </c>
      <c r="C499" s="46" t="s">
        <v>36</v>
      </c>
      <c r="D499" s="62">
        <v>11</v>
      </c>
      <c r="E499" s="47">
        <v>37</v>
      </c>
      <c r="F499" s="62">
        <v>543</v>
      </c>
      <c r="G499" s="47">
        <v>49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68"/>
    </row>
    <row r="500" spans="1:40" s="32" customFormat="1" x14ac:dyDescent="0.3">
      <c r="A500" s="11"/>
      <c r="B500" s="45" t="s">
        <v>33</v>
      </c>
      <c r="C500" s="46" t="s">
        <v>37</v>
      </c>
      <c r="D500" s="62">
        <v>5</v>
      </c>
      <c r="E500" s="47">
        <v>19</v>
      </c>
      <c r="F500" s="62">
        <v>441</v>
      </c>
      <c r="G500" s="47">
        <v>19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68"/>
    </row>
    <row r="501" spans="1:40" s="32" customFormat="1" x14ac:dyDescent="0.3">
      <c r="A501" s="11"/>
      <c r="B501" s="45" t="s">
        <v>33</v>
      </c>
      <c r="C501" s="46" t="s">
        <v>38</v>
      </c>
      <c r="D501" s="62">
        <v>10</v>
      </c>
      <c r="E501" s="47">
        <v>23</v>
      </c>
      <c r="F501" s="62">
        <v>673</v>
      </c>
      <c r="G501" s="47">
        <v>27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68"/>
    </row>
    <row r="502" spans="1:40" s="32" customFormat="1" x14ac:dyDescent="0.3">
      <c r="A502" s="11"/>
      <c r="B502" s="84"/>
      <c r="C502" s="46"/>
      <c r="D502" s="85">
        <f>SUM(D497:D501)</f>
        <v>27</v>
      </c>
      <c r="E502" s="85">
        <f t="shared" ref="E502:G502" si="153">SUM(E497:E501)</f>
        <v>122</v>
      </c>
      <c r="F502" s="85">
        <f t="shared" si="153"/>
        <v>2890</v>
      </c>
      <c r="G502" s="85">
        <f t="shared" si="153"/>
        <v>173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68"/>
    </row>
    <row r="503" spans="1:40" s="32" customFormat="1" x14ac:dyDescent="0.3">
      <c r="A503" s="11"/>
      <c r="B503" s="84"/>
      <c r="C503" s="46"/>
      <c r="D503" s="85"/>
      <c r="E503" s="85"/>
      <c r="F503" s="85"/>
      <c r="G503" s="8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68"/>
    </row>
    <row r="504" spans="1:40" s="32" customFormat="1" x14ac:dyDescent="0.3">
      <c r="A504" s="11"/>
      <c r="B504" s="35" t="s">
        <v>72</v>
      </c>
      <c r="C504" s="28"/>
      <c r="D504" s="65" t="s">
        <v>67</v>
      </c>
      <c r="E504" s="65" t="s">
        <v>68</v>
      </c>
      <c r="F504" s="65" t="s">
        <v>69</v>
      </c>
      <c r="G504" s="65" t="s">
        <v>70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68"/>
    </row>
    <row r="505" spans="1:40" s="32" customFormat="1" x14ac:dyDescent="0.3">
      <c r="A505" s="11"/>
      <c r="B505" s="45" t="s">
        <v>33</v>
      </c>
      <c r="C505" s="46" t="s">
        <v>34</v>
      </c>
      <c r="D505" s="62"/>
      <c r="E505" s="47"/>
      <c r="F505" s="62"/>
      <c r="G505" s="4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68"/>
    </row>
    <row r="506" spans="1:40" s="32" customFormat="1" x14ac:dyDescent="0.3">
      <c r="A506" s="11"/>
      <c r="B506" s="45" t="s">
        <v>33</v>
      </c>
      <c r="C506" s="46" t="s">
        <v>35</v>
      </c>
      <c r="D506" s="62"/>
      <c r="E506" s="47"/>
      <c r="F506" s="62"/>
      <c r="G506" s="4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68"/>
    </row>
    <row r="507" spans="1:40" s="32" customFormat="1" x14ac:dyDescent="0.3">
      <c r="A507" s="11"/>
      <c r="B507" s="45" t="s">
        <v>33</v>
      </c>
      <c r="C507" s="46" t="s">
        <v>36</v>
      </c>
      <c r="D507" s="62"/>
      <c r="E507" s="47"/>
      <c r="F507" s="62"/>
      <c r="G507" s="4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68"/>
    </row>
    <row r="508" spans="1:40" s="32" customFormat="1" x14ac:dyDescent="0.3">
      <c r="A508" s="11"/>
      <c r="B508" s="45" t="s">
        <v>33</v>
      </c>
      <c r="C508" s="46" t="s">
        <v>37</v>
      </c>
      <c r="D508" s="62"/>
      <c r="E508" s="47"/>
      <c r="F508" s="62"/>
      <c r="G508" s="4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68"/>
    </row>
    <row r="509" spans="1:40" s="32" customFormat="1" x14ac:dyDescent="0.3">
      <c r="A509" s="11"/>
      <c r="B509" s="45" t="s">
        <v>33</v>
      </c>
      <c r="C509" s="46" t="s">
        <v>38</v>
      </c>
      <c r="D509" s="62"/>
      <c r="E509" s="47"/>
      <c r="F509" s="62"/>
      <c r="G509" s="4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68"/>
    </row>
    <row r="510" spans="1:40" s="32" customFormat="1" x14ac:dyDescent="0.3">
      <c r="A510" s="11"/>
      <c r="B510" s="84"/>
      <c r="C510" s="46"/>
      <c r="D510" s="85"/>
      <c r="E510" s="85"/>
      <c r="F510" s="85"/>
      <c r="G510" s="8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68"/>
    </row>
    <row r="511" spans="1:40" s="32" customFormat="1" x14ac:dyDescent="0.3">
      <c r="A511" s="11"/>
      <c r="B511" s="84"/>
      <c r="C511" s="46"/>
      <c r="D511" s="85"/>
      <c r="E511" s="86"/>
      <c r="F511" s="85"/>
      <c r="G511" s="8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68"/>
    </row>
    <row r="512" spans="1:40" s="32" customFormat="1" x14ac:dyDescent="0.3">
      <c r="A512" s="11"/>
      <c r="B512" s="35" t="s">
        <v>73</v>
      </c>
      <c r="C512" s="28"/>
      <c r="D512" s="65" t="s">
        <v>67</v>
      </c>
      <c r="E512" s="65" t="s">
        <v>68</v>
      </c>
      <c r="F512" s="65" t="s">
        <v>69</v>
      </c>
      <c r="G512" s="65" t="s">
        <v>70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68"/>
    </row>
    <row r="513" spans="1:40" s="32" customFormat="1" x14ac:dyDescent="0.3">
      <c r="A513" s="11"/>
      <c r="B513" s="45" t="s">
        <v>33</v>
      </c>
      <c r="C513" s="46" t="s">
        <v>34</v>
      </c>
      <c r="D513" s="62"/>
      <c r="E513" s="47"/>
      <c r="F513" s="62"/>
      <c r="G513" s="4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68"/>
    </row>
    <row r="514" spans="1:40" s="32" customFormat="1" x14ac:dyDescent="0.3">
      <c r="A514" s="11"/>
      <c r="B514" s="45" t="s">
        <v>33</v>
      </c>
      <c r="C514" s="46" t="s">
        <v>35</v>
      </c>
      <c r="D514" s="62"/>
      <c r="E514" s="47"/>
      <c r="F514" s="62"/>
      <c r="G514" s="4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68"/>
    </row>
    <row r="515" spans="1:40" s="32" customFormat="1" x14ac:dyDescent="0.3">
      <c r="A515" s="11"/>
      <c r="B515" s="45" t="s">
        <v>33</v>
      </c>
      <c r="C515" s="46" t="s">
        <v>36</v>
      </c>
      <c r="D515" s="62"/>
      <c r="E515" s="47"/>
      <c r="F515" s="62"/>
      <c r="G515" s="4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68"/>
    </row>
    <row r="516" spans="1:40" s="32" customFormat="1" x14ac:dyDescent="0.3">
      <c r="A516" s="11"/>
      <c r="B516" s="45" t="s">
        <v>33</v>
      </c>
      <c r="C516" s="46" t="s">
        <v>37</v>
      </c>
      <c r="D516" s="62"/>
      <c r="E516" s="47"/>
      <c r="F516" s="62"/>
      <c r="G516" s="4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68"/>
    </row>
    <row r="517" spans="1:40" s="32" customFormat="1" x14ac:dyDescent="0.3">
      <c r="A517" s="11"/>
      <c r="B517" s="45" t="s">
        <v>33</v>
      </c>
      <c r="C517" s="46" t="s">
        <v>38</v>
      </c>
      <c r="D517" s="62"/>
      <c r="E517" s="47"/>
      <c r="F517" s="62"/>
      <c r="G517" s="4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68"/>
    </row>
    <row r="518" spans="1:40" s="32" customFormat="1" x14ac:dyDescent="0.3">
      <c r="A518" s="11"/>
      <c r="B518" s="84"/>
      <c r="C518" s="46"/>
      <c r="D518" s="85"/>
      <c r="E518" s="85"/>
      <c r="F518" s="85"/>
      <c r="G518" s="8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68"/>
    </row>
    <row r="519" spans="1:40" s="32" customFormat="1" x14ac:dyDescent="0.3">
      <c r="A519" s="11"/>
      <c r="B519" s="84"/>
      <c r="C519" s="46"/>
      <c r="D519" s="85"/>
      <c r="E519" s="86"/>
      <c r="F519" s="85"/>
      <c r="G519" s="8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68"/>
    </row>
    <row r="520" spans="1:40" s="32" customFormat="1" x14ac:dyDescent="0.3">
      <c r="A520" s="11"/>
      <c r="B520" s="35" t="s">
        <v>81</v>
      </c>
      <c r="C520" s="28"/>
      <c r="D520" s="65" t="s">
        <v>67</v>
      </c>
      <c r="E520" s="65" t="s">
        <v>68</v>
      </c>
      <c r="F520" s="65" t="s">
        <v>69</v>
      </c>
      <c r="G520" s="65" t="s">
        <v>70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68"/>
    </row>
    <row r="521" spans="1:40" s="32" customFormat="1" x14ac:dyDescent="0.3">
      <c r="A521" s="11"/>
      <c r="B521" s="45" t="s">
        <v>33</v>
      </c>
      <c r="C521" s="46" t="s">
        <v>34</v>
      </c>
      <c r="D521" s="62"/>
      <c r="E521" s="47"/>
      <c r="F521" s="62"/>
      <c r="G521" s="4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68"/>
    </row>
    <row r="522" spans="1:40" s="32" customFormat="1" x14ac:dyDescent="0.3">
      <c r="A522" s="11"/>
      <c r="B522" s="45" t="s">
        <v>33</v>
      </c>
      <c r="C522" s="46" t="s">
        <v>35</v>
      </c>
      <c r="D522" s="62"/>
      <c r="E522" s="47"/>
      <c r="F522" s="62"/>
      <c r="G522" s="4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68"/>
    </row>
    <row r="523" spans="1:40" s="32" customFormat="1" x14ac:dyDescent="0.3">
      <c r="A523" s="11"/>
      <c r="B523" s="45" t="s">
        <v>33</v>
      </c>
      <c r="C523" s="46" t="s">
        <v>36</v>
      </c>
      <c r="D523" s="62"/>
      <c r="E523" s="47"/>
      <c r="F523" s="62"/>
      <c r="G523" s="4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68"/>
    </row>
    <row r="524" spans="1:40" s="32" customFormat="1" x14ac:dyDescent="0.3">
      <c r="A524" s="11"/>
      <c r="B524" s="45" t="s">
        <v>33</v>
      </c>
      <c r="C524" s="46" t="s">
        <v>37</v>
      </c>
      <c r="D524" s="62"/>
      <c r="E524" s="47"/>
      <c r="F524" s="62"/>
      <c r="G524" s="4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68"/>
    </row>
    <row r="525" spans="1:40" s="32" customFormat="1" x14ac:dyDescent="0.3">
      <c r="A525" s="11"/>
      <c r="B525" s="45" t="s">
        <v>33</v>
      </c>
      <c r="C525" s="46" t="s">
        <v>38</v>
      </c>
      <c r="D525" s="62"/>
      <c r="E525" s="47"/>
      <c r="F525" s="62"/>
      <c r="G525" s="4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68"/>
    </row>
    <row r="526" spans="1:40" s="32" customFormat="1" x14ac:dyDescent="0.3">
      <c r="A526" s="11"/>
      <c r="B526" s="84"/>
      <c r="C526" s="46"/>
      <c r="D526" s="85"/>
      <c r="E526" s="85"/>
      <c r="F526" s="85"/>
      <c r="G526" s="8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68"/>
    </row>
    <row r="527" spans="1:40" s="32" customFormat="1" x14ac:dyDescent="0.3">
      <c r="A527" s="11"/>
      <c r="B527" s="84"/>
      <c r="C527" s="46"/>
      <c r="D527" s="85"/>
      <c r="E527" s="86"/>
      <c r="F527" s="85"/>
      <c r="G527" s="8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68"/>
    </row>
    <row r="528" spans="1:40" s="32" customFormat="1" x14ac:dyDescent="0.3">
      <c r="A528" s="11"/>
      <c r="B528" s="35" t="s">
        <v>82</v>
      </c>
      <c r="C528" s="28"/>
      <c r="D528" s="65" t="s">
        <v>67</v>
      </c>
      <c r="E528" s="65" t="s">
        <v>68</v>
      </c>
      <c r="F528" s="65" t="s">
        <v>69</v>
      </c>
      <c r="G528" s="65" t="s">
        <v>70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68"/>
    </row>
    <row r="529" spans="1:40" s="32" customFormat="1" x14ac:dyDescent="0.3">
      <c r="A529" s="11"/>
      <c r="B529" s="45" t="s">
        <v>33</v>
      </c>
      <c r="C529" s="46" t="s">
        <v>34</v>
      </c>
      <c r="D529" s="62"/>
      <c r="E529" s="47"/>
      <c r="F529" s="62"/>
      <c r="G529" s="4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68"/>
    </row>
    <row r="530" spans="1:40" s="32" customFormat="1" x14ac:dyDescent="0.3">
      <c r="A530" s="11"/>
      <c r="B530" s="45" t="s">
        <v>33</v>
      </c>
      <c r="C530" s="46" t="s">
        <v>35</v>
      </c>
      <c r="D530" s="62"/>
      <c r="E530" s="47"/>
      <c r="F530" s="62"/>
      <c r="G530" s="4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68"/>
    </row>
    <row r="531" spans="1:40" s="32" customFormat="1" x14ac:dyDescent="0.3">
      <c r="A531" s="11"/>
      <c r="B531" s="45" t="s">
        <v>33</v>
      </c>
      <c r="C531" s="46" t="s">
        <v>36</v>
      </c>
      <c r="D531" s="62"/>
      <c r="E531" s="47"/>
      <c r="F531" s="62"/>
      <c r="G531" s="4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68"/>
    </row>
    <row r="532" spans="1:40" s="32" customFormat="1" x14ac:dyDescent="0.3">
      <c r="A532" s="11"/>
      <c r="B532" s="45" t="s">
        <v>33</v>
      </c>
      <c r="C532" s="46" t="s">
        <v>37</v>
      </c>
      <c r="D532" s="62"/>
      <c r="E532" s="47"/>
      <c r="F532" s="62"/>
      <c r="G532" s="4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68"/>
    </row>
    <row r="533" spans="1:40" s="32" customFormat="1" x14ac:dyDescent="0.3">
      <c r="A533" s="11"/>
      <c r="B533" s="45" t="s">
        <v>33</v>
      </c>
      <c r="C533" s="46" t="s">
        <v>38</v>
      </c>
      <c r="D533" s="62"/>
      <c r="E533" s="47"/>
      <c r="F533" s="62"/>
      <c r="G533" s="4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68"/>
    </row>
    <row r="534" spans="1:40" s="32" customFormat="1" x14ac:dyDescent="0.3">
      <c r="A534" s="11"/>
      <c r="B534" s="84"/>
      <c r="C534" s="46"/>
      <c r="D534" s="85"/>
      <c r="E534" s="85"/>
      <c r="F534" s="85"/>
      <c r="G534" s="8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68"/>
    </row>
    <row r="535" spans="1:40" s="32" customFormat="1" x14ac:dyDescent="0.3">
      <c r="A535" s="11"/>
      <c r="B535" s="84"/>
      <c r="C535" s="46"/>
      <c r="D535" s="85"/>
      <c r="E535" s="86"/>
      <c r="F535" s="85"/>
      <c r="G535" s="8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68"/>
    </row>
    <row r="536" spans="1:40" s="32" customFormat="1" x14ac:dyDescent="0.3">
      <c r="A536" s="11"/>
      <c r="B536" s="35" t="s">
        <v>74</v>
      </c>
      <c r="C536" s="28"/>
      <c r="D536" s="65" t="s">
        <v>67</v>
      </c>
      <c r="E536" s="65" t="s">
        <v>68</v>
      </c>
      <c r="F536" s="65" t="s">
        <v>69</v>
      </c>
      <c r="G536" s="65" t="s">
        <v>70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68"/>
    </row>
    <row r="537" spans="1:40" s="32" customFormat="1" x14ac:dyDescent="0.3">
      <c r="A537" s="11"/>
      <c r="B537" s="45" t="s">
        <v>33</v>
      </c>
      <c r="C537" s="46" t="s">
        <v>34</v>
      </c>
      <c r="D537" s="62"/>
      <c r="E537" s="47"/>
      <c r="F537" s="62"/>
      <c r="G537" s="4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68"/>
    </row>
    <row r="538" spans="1:40" s="32" customFormat="1" x14ac:dyDescent="0.3">
      <c r="A538" s="11"/>
      <c r="B538" s="45" t="s">
        <v>33</v>
      </c>
      <c r="C538" s="46" t="s">
        <v>35</v>
      </c>
      <c r="D538" s="62"/>
      <c r="E538" s="47"/>
      <c r="F538" s="62"/>
      <c r="G538" s="4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68"/>
    </row>
    <row r="539" spans="1:40" s="32" customFormat="1" x14ac:dyDescent="0.3">
      <c r="A539" s="11"/>
      <c r="B539" s="45" t="s">
        <v>33</v>
      </c>
      <c r="C539" s="46" t="s">
        <v>36</v>
      </c>
      <c r="D539" s="62"/>
      <c r="E539" s="47"/>
      <c r="F539" s="62"/>
      <c r="G539" s="4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68"/>
    </row>
    <row r="540" spans="1:40" s="32" customFormat="1" x14ac:dyDescent="0.3">
      <c r="A540" s="11"/>
      <c r="B540" s="45" t="s">
        <v>33</v>
      </c>
      <c r="C540" s="46" t="s">
        <v>37</v>
      </c>
      <c r="D540" s="62"/>
      <c r="E540" s="47"/>
      <c r="F540" s="62"/>
      <c r="G540" s="4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68"/>
    </row>
    <row r="541" spans="1:40" s="32" customFormat="1" x14ac:dyDescent="0.3">
      <c r="A541" s="11"/>
      <c r="B541" s="45" t="s">
        <v>33</v>
      </c>
      <c r="C541" s="46" t="s">
        <v>38</v>
      </c>
      <c r="D541" s="62"/>
      <c r="E541" s="47"/>
      <c r="F541" s="62"/>
      <c r="G541" s="4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68"/>
    </row>
    <row r="542" spans="1:40" s="32" customFormat="1" x14ac:dyDescent="0.3">
      <c r="A542" s="11"/>
      <c r="B542" s="84"/>
      <c r="C542" s="46"/>
      <c r="D542" s="85"/>
      <c r="E542" s="85"/>
      <c r="F542" s="85"/>
      <c r="G542" s="8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68"/>
    </row>
    <row r="543" spans="1:40" s="32" customFormat="1" x14ac:dyDescent="0.3">
      <c r="A543" s="11"/>
      <c r="B543" s="84"/>
      <c r="C543" s="46"/>
      <c r="D543" s="85"/>
      <c r="E543" s="86"/>
      <c r="F543" s="85"/>
      <c r="G543" s="8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68"/>
    </row>
    <row r="544" spans="1:40" s="32" customFormat="1" x14ac:dyDescent="0.3">
      <c r="A544" s="11"/>
      <c r="B544" s="35" t="s">
        <v>75</v>
      </c>
      <c r="C544" s="28"/>
      <c r="D544" s="65" t="s">
        <v>67</v>
      </c>
      <c r="E544" s="65" t="s">
        <v>68</v>
      </c>
      <c r="F544" s="65" t="s">
        <v>69</v>
      </c>
      <c r="G544" s="65" t="s">
        <v>70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68"/>
    </row>
    <row r="545" spans="1:40" s="32" customFormat="1" x14ac:dyDescent="0.3">
      <c r="A545" s="11"/>
      <c r="B545" s="45" t="s">
        <v>33</v>
      </c>
      <c r="C545" s="46" t="s">
        <v>34</v>
      </c>
      <c r="D545" s="62"/>
      <c r="E545" s="47"/>
      <c r="F545" s="62"/>
      <c r="G545" s="4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68"/>
    </row>
    <row r="546" spans="1:40" s="32" customFormat="1" x14ac:dyDescent="0.3">
      <c r="A546" s="11"/>
      <c r="B546" s="45" t="s">
        <v>33</v>
      </c>
      <c r="C546" s="46" t="s">
        <v>35</v>
      </c>
      <c r="D546" s="62"/>
      <c r="E546" s="47"/>
      <c r="F546" s="62"/>
      <c r="G546" s="4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68"/>
    </row>
    <row r="547" spans="1:40" s="32" customFormat="1" x14ac:dyDescent="0.3">
      <c r="A547" s="11"/>
      <c r="B547" s="45" t="s">
        <v>33</v>
      </c>
      <c r="C547" s="46" t="s">
        <v>36</v>
      </c>
      <c r="D547" s="62"/>
      <c r="E547" s="47"/>
      <c r="F547" s="62"/>
      <c r="G547" s="4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68"/>
    </row>
    <row r="548" spans="1:40" s="32" customFormat="1" x14ac:dyDescent="0.3">
      <c r="A548" s="11"/>
      <c r="B548" s="45" t="s">
        <v>33</v>
      </c>
      <c r="C548" s="46" t="s">
        <v>37</v>
      </c>
      <c r="D548" s="62"/>
      <c r="E548" s="47"/>
      <c r="F548" s="62"/>
      <c r="G548" s="4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68"/>
    </row>
    <row r="549" spans="1:40" s="32" customFormat="1" x14ac:dyDescent="0.3">
      <c r="A549" s="11"/>
      <c r="B549" s="45" t="s">
        <v>33</v>
      </c>
      <c r="C549" s="46" t="s">
        <v>38</v>
      </c>
      <c r="D549" s="62"/>
      <c r="E549" s="47"/>
      <c r="F549" s="62"/>
      <c r="G549" s="4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68"/>
    </row>
    <row r="550" spans="1:40" s="32" customFormat="1" x14ac:dyDescent="0.3">
      <c r="A550" s="11"/>
      <c r="B550" s="84"/>
      <c r="C550" s="46"/>
      <c r="D550" s="104"/>
      <c r="E550" s="104"/>
      <c r="F550" s="104"/>
      <c r="G550" s="10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68"/>
    </row>
    <row r="551" spans="1:40" s="32" customFormat="1" x14ac:dyDescent="0.3">
      <c r="A551" s="11"/>
      <c r="B551" s="84"/>
      <c r="C551" s="46"/>
      <c r="D551" s="85"/>
      <c r="E551" s="86"/>
      <c r="F551" s="85"/>
      <c r="G551" s="8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68"/>
    </row>
    <row r="552" spans="1:40" s="32" customFormat="1" x14ac:dyDescent="0.3">
      <c r="A552" s="11"/>
      <c r="B552" s="35" t="s">
        <v>76</v>
      </c>
      <c r="C552" s="28"/>
      <c r="D552" s="65" t="s">
        <v>67</v>
      </c>
      <c r="E552" s="65" t="s">
        <v>68</v>
      </c>
      <c r="F552" s="65" t="s">
        <v>69</v>
      </c>
      <c r="G552" s="65" t="s">
        <v>70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68"/>
    </row>
    <row r="553" spans="1:40" s="32" customFormat="1" x14ac:dyDescent="0.3">
      <c r="A553" s="11"/>
      <c r="B553" s="45" t="s">
        <v>33</v>
      </c>
      <c r="C553" s="46" t="s">
        <v>34</v>
      </c>
      <c r="D553" s="62"/>
      <c r="E553" s="47"/>
      <c r="F553" s="62"/>
      <c r="G553" s="4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68"/>
    </row>
    <row r="554" spans="1:40" s="32" customFormat="1" x14ac:dyDescent="0.3">
      <c r="A554" s="11"/>
      <c r="B554" s="45" t="s">
        <v>33</v>
      </c>
      <c r="C554" s="46" t="s">
        <v>35</v>
      </c>
      <c r="D554" s="62"/>
      <c r="E554" s="47"/>
      <c r="F554" s="62"/>
      <c r="G554" s="4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68"/>
    </row>
    <row r="555" spans="1:40" s="32" customFormat="1" x14ac:dyDescent="0.3">
      <c r="A555" s="11"/>
      <c r="B555" s="45" t="s">
        <v>33</v>
      </c>
      <c r="C555" s="46" t="s">
        <v>36</v>
      </c>
      <c r="D555" s="62"/>
      <c r="E555" s="47"/>
      <c r="F555" s="62"/>
      <c r="G555" s="4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68"/>
    </row>
    <row r="556" spans="1:40" s="32" customFormat="1" x14ac:dyDescent="0.3">
      <c r="A556" s="11"/>
      <c r="B556" s="45" t="s">
        <v>33</v>
      </c>
      <c r="C556" s="46" t="s">
        <v>37</v>
      </c>
      <c r="D556" s="62"/>
      <c r="E556" s="47"/>
      <c r="F556" s="62"/>
      <c r="G556" s="4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68"/>
    </row>
    <row r="557" spans="1:40" s="32" customFormat="1" x14ac:dyDescent="0.3">
      <c r="A557" s="11"/>
      <c r="B557" s="45" t="s">
        <v>33</v>
      </c>
      <c r="C557" s="46" t="s">
        <v>38</v>
      </c>
      <c r="D557" s="62"/>
      <c r="E557" s="47"/>
      <c r="F557" s="62"/>
      <c r="G557" s="4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68"/>
    </row>
    <row r="558" spans="1:40" s="32" customFormat="1" x14ac:dyDescent="0.3">
      <c r="A558" s="11"/>
      <c r="B558" s="84"/>
      <c r="C558" s="46"/>
      <c r="D558" s="104"/>
      <c r="E558" s="104"/>
      <c r="F558" s="104"/>
      <c r="G558" s="10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68"/>
    </row>
    <row r="559" spans="1:40" s="32" customFormat="1" x14ac:dyDescent="0.3">
      <c r="A559" s="11"/>
      <c r="B559" s="84"/>
      <c r="C559" s="46"/>
      <c r="D559" s="85"/>
      <c r="E559" s="86"/>
      <c r="F559" s="85"/>
      <c r="G559" s="8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68"/>
    </row>
    <row r="560" spans="1:40" s="32" customFormat="1" x14ac:dyDescent="0.3">
      <c r="A560" s="11"/>
      <c r="B560" s="35" t="s">
        <v>77</v>
      </c>
      <c r="C560" s="28"/>
      <c r="D560" s="65" t="s">
        <v>67</v>
      </c>
      <c r="E560" s="65" t="s">
        <v>68</v>
      </c>
      <c r="F560" s="65" t="s">
        <v>69</v>
      </c>
      <c r="G560" s="65" t="s">
        <v>70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68"/>
    </row>
    <row r="561" spans="1:40" s="32" customFormat="1" x14ac:dyDescent="0.3">
      <c r="A561" s="11"/>
      <c r="B561" s="45" t="s">
        <v>33</v>
      </c>
      <c r="C561" s="46" t="s">
        <v>34</v>
      </c>
      <c r="D561" s="62"/>
      <c r="E561" s="47"/>
      <c r="F561" s="62"/>
      <c r="G561" s="4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68"/>
    </row>
    <row r="562" spans="1:40" s="32" customFormat="1" x14ac:dyDescent="0.3">
      <c r="A562" s="11"/>
      <c r="B562" s="45" t="s">
        <v>33</v>
      </c>
      <c r="C562" s="46" t="s">
        <v>35</v>
      </c>
      <c r="D562" s="62"/>
      <c r="E562" s="47"/>
      <c r="F562" s="62"/>
      <c r="G562" s="4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68"/>
    </row>
    <row r="563" spans="1:40" s="32" customFormat="1" x14ac:dyDescent="0.3">
      <c r="A563" s="11"/>
      <c r="B563" s="45" t="s">
        <v>33</v>
      </c>
      <c r="C563" s="46" t="s">
        <v>36</v>
      </c>
      <c r="D563" s="62"/>
      <c r="E563" s="47"/>
      <c r="F563" s="62"/>
      <c r="G563" s="4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68"/>
    </row>
    <row r="564" spans="1:40" s="32" customFormat="1" x14ac:dyDescent="0.3">
      <c r="A564" s="11"/>
      <c r="B564" s="45" t="s">
        <v>33</v>
      </c>
      <c r="C564" s="46" t="s">
        <v>37</v>
      </c>
      <c r="D564" s="62"/>
      <c r="E564" s="47"/>
      <c r="F564" s="62"/>
      <c r="G564" s="4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68"/>
    </row>
    <row r="565" spans="1:40" s="32" customFormat="1" x14ac:dyDescent="0.3">
      <c r="A565" s="11"/>
      <c r="B565" s="45" t="s">
        <v>33</v>
      </c>
      <c r="C565" s="46" t="s">
        <v>38</v>
      </c>
      <c r="D565" s="62"/>
      <c r="E565" s="47"/>
      <c r="F565" s="62"/>
      <c r="G565" s="4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68"/>
    </row>
    <row r="566" spans="1:40" s="32" customFormat="1" x14ac:dyDescent="0.3">
      <c r="A566" s="11"/>
      <c r="B566" s="84"/>
      <c r="C566" s="46"/>
      <c r="D566" s="85"/>
      <c r="E566" s="86"/>
      <c r="F566" s="85"/>
      <c r="G566" s="8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68"/>
    </row>
    <row r="567" spans="1:40" s="32" customFormat="1" x14ac:dyDescent="0.3">
      <c r="A567" s="11"/>
      <c r="B567" s="84"/>
      <c r="C567" s="46"/>
      <c r="D567" s="85"/>
      <c r="E567" s="86"/>
      <c r="F567" s="85"/>
      <c r="G567" s="8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68"/>
    </row>
    <row r="568" spans="1:40" s="32" customFormat="1" x14ac:dyDescent="0.3">
      <c r="A568" s="11"/>
      <c r="B568" s="35" t="s">
        <v>78</v>
      </c>
      <c r="C568" s="28"/>
      <c r="D568" s="65" t="s">
        <v>67</v>
      </c>
      <c r="E568" s="65" t="s">
        <v>68</v>
      </c>
      <c r="F568" s="65" t="s">
        <v>69</v>
      </c>
      <c r="G568" s="65" t="s">
        <v>70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68"/>
    </row>
    <row r="569" spans="1:40" s="32" customFormat="1" x14ac:dyDescent="0.3">
      <c r="A569" s="11"/>
      <c r="B569" s="45" t="s">
        <v>33</v>
      </c>
      <c r="C569" s="46" t="s">
        <v>34</v>
      </c>
      <c r="D569" s="62"/>
      <c r="E569" s="47"/>
      <c r="F569" s="62"/>
      <c r="G569" s="4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68"/>
    </row>
    <row r="570" spans="1:40" s="32" customFormat="1" x14ac:dyDescent="0.3">
      <c r="A570" s="11"/>
      <c r="B570" s="45" t="s">
        <v>33</v>
      </c>
      <c r="C570" s="46" t="s">
        <v>35</v>
      </c>
      <c r="D570" s="62"/>
      <c r="E570" s="47"/>
      <c r="F570" s="62"/>
      <c r="G570" s="4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68"/>
    </row>
    <row r="571" spans="1:40" s="32" customFormat="1" x14ac:dyDescent="0.3">
      <c r="A571" s="11"/>
      <c r="B571" s="45" t="s">
        <v>33</v>
      </c>
      <c r="C571" s="46" t="s">
        <v>36</v>
      </c>
      <c r="D571" s="62"/>
      <c r="E571" s="47"/>
      <c r="F571" s="62"/>
      <c r="G571" s="4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68"/>
    </row>
    <row r="572" spans="1:40" s="32" customFormat="1" x14ac:dyDescent="0.3">
      <c r="A572" s="11"/>
      <c r="B572" s="45" t="s">
        <v>33</v>
      </c>
      <c r="C572" s="46" t="s">
        <v>37</v>
      </c>
      <c r="D572" s="62"/>
      <c r="E572" s="47"/>
      <c r="F572" s="62"/>
      <c r="G572" s="4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68"/>
    </row>
    <row r="573" spans="1:40" s="32" customFormat="1" x14ac:dyDescent="0.3">
      <c r="A573" s="11"/>
      <c r="B573" s="45" t="s">
        <v>33</v>
      </c>
      <c r="C573" s="46" t="s">
        <v>38</v>
      </c>
      <c r="D573" s="62"/>
      <c r="E573" s="47"/>
      <c r="F573" s="62"/>
      <c r="G573" s="4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68"/>
    </row>
    <row r="574" spans="1:40" s="32" customFormat="1" x14ac:dyDescent="0.3">
      <c r="A574" s="11"/>
      <c r="B574" s="84"/>
      <c r="C574" s="46"/>
      <c r="D574" s="85"/>
      <c r="E574" s="86"/>
      <c r="F574" s="85"/>
      <c r="G574" s="8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68"/>
    </row>
    <row r="575" spans="1:40" s="32" customFormat="1" x14ac:dyDescent="0.3">
      <c r="A575" s="11"/>
      <c r="B575" s="84"/>
      <c r="C575" s="46"/>
      <c r="D575" s="85"/>
      <c r="E575" s="86"/>
      <c r="F575" s="85"/>
      <c r="G575" s="8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68"/>
    </row>
    <row r="576" spans="1:40" s="32" customFormat="1" x14ac:dyDescent="0.3">
      <c r="A576" s="11"/>
      <c r="B576" s="35" t="s">
        <v>79</v>
      </c>
      <c r="C576" s="28"/>
      <c r="D576" s="65" t="s">
        <v>67</v>
      </c>
      <c r="E576" s="65" t="s">
        <v>68</v>
      </c>
      <c r="F576" s="65" t="s">
        <v>69</v>
      </c>
      <c r="G576" s="65" t="s">
        <v>70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68"/>
    </row>
    <row r="577" spans="1:40" s="32" customFormat="1" x14ac:dyDescent="0.3">
      <c r="A577" s="11"/>
      <c r="B577" s="45" t="s">
        <v>33</v>
      </c>
      <c r="C577" s="46" t="s">
        <v>34</v>
      </c>
      <c r="D577" s="62"/>
      <c r="E577" s="47"/>
      <c r="F577" s="62"/>
      <c r="G577" s="4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68"/>
    </row>
    <row r="578" spans="1:40" s="32" customFormat="1" x14ac:dyDescent="0.3">
      <c r="A578" s="11"/>
      <c r="B578" s="45" t="s">
        <v>33</v>
      </c>
      <c r="C578" s="46" t="s">
        <v>35</v>
      </c>
      <c r="D578" s="62"/>
      <c r="E578" s="47"/>
      <c r="F578" s="62"/>
      <c r="G578" s="4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68"/>
    </row>
    <row r="579" spans="1:40" s="32" customFormat="1" x14ac:dyDescent="0.3">
      <c r="A579" s="11"/>
      <c r="B579" s="45" t="s">
        <v>33</v>
      </c>
      <c r="C579" s="46" t="s">
        <v>36</v>
      </c>
      <c r="D579" s="62"/>
      <c r="E579" s="47"/>
      <c r="F579" s="62"/>
      <c r="G579" s="4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68"/>
    </row>
    <row r="580" spans="1:40" s="32" customFormat="1" x14ac:dyDescent="0.3">
      <c r="A580" s="11"/>
      <c r="B580" s="45" t="s">
        <v>33</v>
      </c>
      <c r="C580" s="46" t="s">
        <v>37</v>
      </c>
      <c r="D580" s="62"/>
      <c r="E580" s="47"/>
      <c r="F580" s="62"/>
      <c r="G580" s="4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68"/>
    </row>
    <row r="581" spans="1:40" s="32" customFormat="1" x14ac:dyDescent="0.3">
      <c r="A581" s="11"/>
      <c r="B581" s="45" t="s">
        <v>33</v>
      </c>
      <c r="C581" s="46" t="s">
        <v>38</v>
      </c>
      <c r="D581" s="62"/>
      <c r="E581" s="47"/>
      <c r="F581" s="62"/>
      <c r="G581" s="4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68"/>
    </row>
    <row r="582" spans="1:40" s="32" customFormat="1" x14ac:dyDescent="0.3">
      <c r="A582" s="11"/>
      <c r="B582" s="84"/>
      <c r="C582" s="46"/>
      <c r="D582" s="85"/>
      <c r="E582" s="86"/>
      <c r="F582" s="85"/>
      <c r="G582" s="8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68"/>
    </row>
    <row r="583" spans="1:40" s="32" customFormat="1" x14ac:dyDescent="0.3">
      <c r="A583" s="11"/>
      <c r="B583" s="84"/>
      <c r="C583" s="46"/>
      <c r="D583" s="85"/>
      <c r="E583" s="86"/>
      <c r="F583" s="85"/>
      <c r="G583" s="8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68"/>
    </row>
    <row r="584" spans="1:40" s="32" customFormat="1" x14ac:dyDescent="0.3">
      <c r="A584" s="11"/>
      <c r="B584" s="35" t="s">
        <v>80</v>
      </c>
      <c r="C584" s="28"/>
      <c r="D584" s="65" t="s">
        <v>67</v>
      </c>
      <c r="E584" s="65" t="s">
        <v>68</v>
      </c>
      <c r="F584" s="65" t="s">
        <v>69</v>
      </c>
      <c r="G584" s="65" t="s">
        <v>70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68"/>
    </row>
    <row r="585" spans="1:40" s="32" customFormat="1" x14ac:dyDescent="0.3">
      <c r="A585" s="11"/>
      <c r="B585" s="45" t="s">
        <v>33</v>
      </c>
      <c r="C585" s="46" t="s">
        <v>34</v>
      </c>
      <c r="D585" s="62"/>
      <c r="E585" s="47"/>
      <c r="F585" s="62"/>
      <c r="G585" s="4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68"/>
    </row>
    <row r="586" spans="1:40" s="32" customFormat="1" x14ac:dyDescent="0.3">
      <c r="A586" s="11"/>
      <c r="B586" s="45" t="s">
        <v>33</v>
      </c>
      <c r="C586" s="46" t="s">
        <v>35</v>
      </c>
      <c r="D586" s="62"/>
      <c r="E586" s="47"/>
      <c r="F586" s="62"/>
      <c r="G586" s="4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68"/>
    </row>
    <row r="587" spans="1:40" s="32" customFormat="1" x14ac:dyDescent="0.3">
      <c r="A587" s="11"/>
      <c r="B587" s="45" t="s">
        <v>33</v>
      </c>
      <c r="C587" s="46" t="s">
        <v>36</v>
      </c>
      <c r="D587" s="62"/>
      <c r="E587" s="47"/>
      <c r="F587" s="62"/>
      <c r="G587" s="4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68"/>
    </row>
    <row r="588" spans="1:40" s="32" customFormat="1" x14ac:dyDescent="0.3">
      <c r="A588" s="11"/>
      <c r="B588" s="45" t="s">
        <v>33</v>
      </c>
      <c r="C588" s="46" t="s">
        <v>37</v>
      </c>
      <c r="D588" s="62"/>
      <c r="E588" s="47"/>
      <c r="F588" s="62"/>
      <c r="G588" s="4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68"/>
    </row>
    <row r="589" spans="1:40" s="32" customFormat="1" x14ac:dyDescent="0.3">
      <c r="A589" s="11"/>
      <c r="B589" s="45" t="s">
        <v>33</v>
      </c>
      <c r="C589" s="46" t="s">
        <v>38</v>
      </c>
      <c r="D589" s="62"/>
      <c r="E589" s="47"/>
      <c r="F589" s="62"/>
      <c r="G589" s="4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68"/>
    </row>
    <row r="590" spans="1:40" s="32" customFormat="1" x14ac:dyDescent="0.3">
      <c r="A590" s="11"/>
      <c r="B590" s="84"/>
      <c r="C590" s="46"/>
      <c r="D590" s="85"/>
      <c r="E590" s="86"/>
      <c r="F590" s="85"/>
      <c r="G590" s="8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68"/>
    </row>
    <row r="591" spans="1:40" s="32" customFormat="1" x14ac:dyDescent="0.3">
      <c r="A591" s="11"/>
      <c r="B591" s="84"/>
      <c r="C591" s="46"/>
      <c r="D591" s="85"/>
      <c r="E591" s="86"/>
      <c r="F591" s="85"/>
      <c r="G591" s="8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68"/>
    </row>
    <row r="592" spans="1:40" s="32" customFormat="1" x14ac:dyDescent="0.3">
      <c r="A592" s="11"/>
      <c r="B592" s="35" t="s">
        <v>71</v>
      </c>
      <c r="C592" s="28"/>
      <c r="D592" s="65" t="s">
        <v>67</v>
      </c>
      <c r="E592" s="65" t="s">
        <v>68</v>
      </c>
      <c r="F592" s="65" t="s">
        <v>69</v>
      </c>
      <c r="G592" s="65" t="s">
        <v>70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68"/>
    </row>
    <row r="593" spans="1:40" s="30" customFormat="1" x14ac:dyDescent="0.3">
      <c r="A593" s="11"/>
      <c r="B593" s="48" t="s">
        <v>39</v>
      </c>
      <c r="C593" s="49" t="s">
        <v>40</v>
      </c>
      <c r="D593" s="62">
        <v>8</v>
      </c>
      <c r="E593" s="47">
        <v>36</v>
      </c>
      <c r="F593" s="62">
        <v>696</v>
      </c>
      <c r="G593" s="47">
        <v>22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66"/>
    </row>
    <row r="594" spans="1:40" s="30" customFormat="1" x14ac:dyDescent="0.3">
      <c r="A594" s="11"/>
      <c r="B594" s="48" t="s">
        <v>39</v>
      </c>
      <c r="C594" s="49" t="s">
        <v>41</v>
      </c>
      <c r="D594" s="62">
        <v>6</v>
      </c>
      <c r="E594" s="47">
        <v>33</v>
      </c>
      <c r="F594" s="62">
        <v>752</v>
      </c>
      <c r="G594" s="47">
        <v>37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66"/>
    </row>
    <row r="595" spans="1:40" s="30" customFormat="1" x14ac:dyDescent="0.3">
      <c r="A595" s="11"/>
      <c r="B595" s="48" t="s">
        <v>39</v>
      </c>
      <c r="C595" s="49" t="s">
        <v>42</v>
      </c>
      <c r="D595" s="62">
        <v>4</v>
      </c>
      <c r="E595" s="47">
        <v>23</v>
      </c>
      <c r="F595" s="62">
        <v>575</v>
      </c>
      <c r="G595" s="47">
        <v>38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66"/>
    </row>
    <row r="596" spans="1:40" s="30" customFormat="1" x14ac:dyDescent="0.3">
      <c r="A596" s="11"/>
      <c r="B596" s="48" t="s">
        <v>39</v>
      </c>
      <c r="C596" s="49" t="s">
        <v>43</v>
      </c>
      <c r="D596" s="62">
        <v>4</v>
      </c>
      <c r="E596" s="47">
        <v>8</v>
      </c>
      <c r="F596" s="62">
        <v>605</v>
      </c>
      <c r="G596" s="47">
        <v>20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66"/>
    </row>
    <row r="597" spans="1:40" s="30" customFormat="1" x14ac:dyDescent="0.3">
      <c r="A597" s="11"/>
      <c r="B597" s="48" t="s">
        <v>39</v>
      </c>
      <c r="C597" s="49" t="s">
        <v>44</v>
      </c>
      <c r="D597" s="62">
        <v>1</v>
      </c>
      <c r="E597" s="47">
        <v>12</v>
      </c>
      <c r="F597" s="62">
        <v>693</v>
      </c>
      <c r="G597" s="47">
        <v>14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66"/>
    </row>
    <row r="598" spans="1:40" s="30" customFormat="1" x14ac:dyDescent="0.3">
      <c r="A598" s="11"/>
      <c r="B598" s="87"/>
      <c r="C598" s="49"/>
      <c r="D598" s="85">
        <f>SUM(D593:D597)</f>
        <v>23</v>
      </c>
      <c r="E598" s="85">
        <f t="shared" ref="E598:G598" si="154">SUM(E593:E597)</f>
        <v>112</v>
      </c>
      <c r="F598" s="85">
        <f t="shared" si="154"/>
        <v>3321</v>
      </c>
      <c r="G598" s="85">
        <f t="shared" si="154"/>
        <v>131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66"/>
    </row>
    <row r="599" spans="1:40" s="30" customFormat="1" x14ac:dyDescent="0.3">
      <c r="A599" s="11"/>
      <c r="B599" s="87"/>
      <c r="C599" s="49"/>
      <c r="D599" s="85"/>
      <c r="E599" s="85"/>
      <c r="F599" s="85"/>
      <c r="G599" s="8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66"/>
    </row>
    <row r="600" spans="1:40" s="30" customFormat="1" x14ac:dyDescent="0.3">
      <c r="A600" s="11"/>
      <c r="B600" s="35" t="s">
        <v>72</v>
      </c>
      <c r="C600" s="28"/>
      <c r="D600" s="65" t="s">
        <v>67</v>
      </c>
      <c r="E600" s="65" t="s">
        <v>68</v>
      </c>
      <c r="F600" s="65" t="s">
        <v>69</v>
      </c>
      <c r="G600" s="65" t="s">
        <v>70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66"/>
    </row>
    <row r="601" spans="1:40" s="30" customFormat="1" x14ac:dyDescent="0.3">
      <c r="A601" s="11"/>
      <c r="B601" s="48" t="s">
        <v>39</v>
      </c>
      <c r="C601" s="49" t="s">
        <v>40</v>
      </c>
      <c r="D601" s="62"/>
      <c r="E601" s="47"/>
      <c r="F601" s="62"/>
      <c r="G601" s="4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66"/>
    </row>
    <row r="602" spans="1:40" s="30" customFormat="1" x14ac:dyDescent="0.3">
      <c r="A602" s="11"/>
      <c r="B602" s="48" t="s">
        <v>39</v>
      </c>
      <c r="C602" s="49" t="s">
        <v>41</v>
      </c>
      <c r="D602" s="62"/>
      <c r="E602" s="47"/>
      <c r="F602" s="62"/>
      <c r="G602" s="4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66"/>
    </row>
    <row r="603" spans="1:40" s="30" customFormat="1" x14ac:dyDescent="0.3">
      <c r="A603" s="11"/>
      <c r="B603" s="48" t="s">
        <v>39</v>
      </c>
      <c r="C603" s="49" t="s">
        <v>42</v>
      </c>
      <c r="D603" s="62"/>
      <c r="E603" s="47"/>
      <c r="F603" s="62"/>
      <c r="G603" s="4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66"/>
    </row>
    <row r="604" spans="1:40" s="30" customFormat="1" x14ac:dyDescent="0.3">
      <c r="A604" s="11"/>
      <c r="B604" s="48" t="s">
        <v>39</v>
      </c>
      <c r="C604" s="49" t="s">
        <v>43</v>
      </c>
      <c r="D604" s="62"/>
      <c r="E604" s="47"/>
      <c r="F604" s="62"/>
      <c r="G604" s="4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66"/>
    </row>
    <row r="605" spans="1:40" s="30" customFormat="1" x14ac:dyDescent="0.3">
      <c r="A605" s="11"/>
      <c r="B605" s="48" t="s">
        <v>39</v>
      </c>
      <c r="C605" s="49" t="s">
        <v>44</v>
      </c>
      <c r="D605" s="62"/>
      <c r="E605" s="47"/>
      <c r="F605" s="62"/>
      <c r="G605" s="4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66"/>
    </row>
    <row r="606" spans="1:40" s="30" customFormat="1" x14ac:dyDescent="0.3">
      <c r="A606" s="11"/>
      <c r="B606" s="87"/>
      <c r="C606" s="49"/>
      <c r="D606" s="85"/>
      <c r="E606" s="85"/>
      <c r="F606" s="85"/>
      <c r="G606" s="8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66"/>
    </row>
    <row r="607" spans="1:40" s="30" customFormat="1" x14ac:dyDescent="0.3">
      <c r="A607" s="11"/>
      <c r="B607" s="87"/>
      <c r="C607" s="49"/>
      <c r="D607" s="85"/>
      <c r="E607" s="86"/>
      <c r="F607" s="85"/>
      <c r="G607" s="8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66"/>
    </row>
    <row r="608" spans="1:40" s="30" customFormat="1" x14ac:dyDescent="0.3">
      <c r="A608" s="11"/>
      <c r="B608" s="35" t="s">
        <v>73</v>
      </c>
      <c r="C608" s="28"/>
      <c r="D608" s="65" t="s">
        <v>67</v>
      </c>
      <c r="E608" s="65" t="s">
        <v>68</v>
      </c>
      <c r="F608" s="65" t="s">
        <v>69</v>
      </c>
      <c r="G608" s="65" t="s">
        <v>70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66"/>
    </row>
    <row r="609" spans="1:40" s="30" customFormat="1" x14ac:dyDescent="0.3">
      <c r="A609" s="11"/>
      <c r="B609" s="48" t="s">
        <v>39</v>
      </c>
      <c r="C609" s="49" t="s">
        <v>40</v>
      </c>
      <c r="D609" s="62"/>
      <c r="E609" s="47"/>
      <c r="F609" s="62"/>
      <c r="G609" s="4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66"/>
    </row>
    <row r="610" spans="1:40" s="30" customFormat="1" x14ac:dyDescent="0.3">
      <c r="A610" s="11"/>
      <c r="B610" s="48" t="s">
        <v>39</v>
      </c>
      <c r="C610" s="49" t="s">
        <v>41</v>
      </c>
      <c r="D610" s="62"/>
      <c r="E610" s="47"/>
      <c r="F610" s="62"/>
      <c r="G610" s="4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66"/>
    </row>
    <row r="611" spans="1:40" s="30" customFormat="1" x14ac:dyDescent="0.3">
      <c r="A611" s="11"/>
      <c r="B611" s="48" t="s">
        <v>39</v>
      </c>
      <c r="C611" s="49" t="s">
        <v>42</v>
      </c>
      <c r="D611" s="62"/>
      <c r="E611" s="47"/>
      <c r="F611" s="62"/>
      <c r="G611" s="4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66"/>
    </row>
    <row r="612" spans="1:40" s="30" customFormat="1" x14ac:dyDescent="0.3">
      <c r="A612" s="11"/>
      <c r="B612" s="48" t="s">
        <v>39</v>
      </c>
      <c r="C612" s="49" t="s">
        <v>43</v>
      </c>
      <c r="D612" s="62"/>
      <c r="E612" s="47"/>
      <c r="F612" s="62"/>
      <c r="G612" s="4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66"/>
    </row>
    <row r="613" spans="1:40" s="30" customFormat="1" x14ac:dyDescent="0.3">
      <c r="A613" s="11"/>
      <c r="B613" s="48" t="s">
        <v>39</v>
      </c>
      <c r="C613" s="49" t="s">
        <v>44</v>
      </c>
      <c r="D613" s="62"/>
      <c r="E613" s="47"/>
      <c r="F613" s="62"/>
      <c r="G613" s="4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66"/>
    </row>
    <row r="614" spans="1:40" s="30" customFormat="1" x14ac:dyDescent="0.3">
      <c r="A614" s="11"/>
      <c r="B614" s="87"/>
      <c r="C614" s="49"/>
      <c r="D614" s="85"/>
      <c r="E614" s="85"/>
      <c r="F614" s="85"/>
      <c r="G614" s="8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66"/>
    </row>
    <row r="615" spans="1:40" s="30" customFormat="1" x14ac:dyDescent="0.3">
      <c r="A615" s="11"/>
      <c r="B615" s="87"/>
      <c r="C615" s="49"/>
      <c r="D615" s="85"/>
      <c r="E615" s="86"/>
      <c r="F615" s="85"/>
      <c r="G615" s="8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66"/>
    </row>
    <row r="616" spans="1:40" s="30" customFormat="1" x14ac:dyDescent="0.3">
      <c r="A616" s="11"/>
      <c r="B616" s="35" t="s">
        <v>81</v>
      </c>
      <c r="C616" s="28"/>
      <c r="D616" s="65" t="s">
        <v>67</v>
      </c>
      <c r="E616" s="65" t="s">
        <v>68</v>
      </c>
      <c r="F616" s="65" t="s">
        <v>69</v>
      </c>
      <c r="G616" s="65" t="s">
        <v>70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66"/>
    </row>
    <row r="617" spans="1:40" s="30" customFormat="1" x14ac:dyDescent="0.3">
      <c r="A617" s="11"/>
      <c r="B617" s="48" t="s">
        <v>39</v>
      </c>
      <c r="C617" s="49" t="s">
        <v>40</v>
      </c>
      <c r="D617" s="62"/>
      <c r="E617" s="47"/>
      <c r="F617" s="62"/>
      <c r="G617" s="4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66"/>
    </row>
    <row r="618" spans="1:40" s="30" customFormat="1" x14ac:dyDescent="0.3">
      <c r="A618" s="11"/>
      <c r="B618" s="48" t="s">
        <v>39</v>
      </c>
      <c r="C618" s="49" t="s">
        <v>41</v>
      </c>
      <c r="D618" s="62"/>
      <c r="E618" s="47"/>
      <c r="F618" s="62"/>
      <c r="G618" s="4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66"/>
    </row>
    <row r="619" spans="1:40" s="30" customFormat="1" x14ac:dyDescent="0.3">
      <c r="A619" s="11"/>
      <c r="B619" s="48" t="s">
        <v>39</v>
      </c>
      <c r="C619" s="49" t="s">
        <v>42</v>
      </c>
      <c r="D619" s="62"/>
      <c r="E619" s="47"/>
      <c r="F619" s="62"/>
      <c r="G619" s="4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66"/>
    </row>
    <row r="620" spans="1:40" s="30" customFormat="1" x14ac:dyDescent="0.3">
      <c r="A620" s="11"/>
      <c r="B620" s="48" t="s">
        <v>39</v>
      </c>
      <c r="C620" s="49" t="s">
        <v>43</v>
      </c>
      <c r="D620" s="62"/>
      <c r="E620" s="47"/>
      <c r="F620" s="62"/>
      <c r="G620" s="4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66"/>
    </row>
    <row r="621" spans="1:40" s="30" customFormat="1" x14ac:dyDescent="0.3">
      <c r="A621" s="11"/>
      <c r="B621" s="48" t="s">
        <v>39</v>
      </c>
      <c r="C621" s="49" t="s">
        <v>44</v>
      </c>
      <c r="D621" s="62"/>
      <c r="E621" s="47"/>
      <c r="F621" s="62"/>
      <c r="G621" s="4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66"/>
    </row>
    <row r="622" spans="1:40" s="30" customFormat="1" x14ac:dyDescent="0.3">
      <c r="A622" s="11"/>
      <c r="B622" s="87"/>
      <c r="C622" s="49"/>
      <c r="D622" s="85"/>
      <c r="E622" s="85"/>
      <c r="F622" s="85"/>
      <c r="G622" s="8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66"/>
    </row>
    <row r="623" spans="1:40" s="30" customFormat="1" x14ac:dyDescent="0.3">
      <c r="A623" s="11"/>
      <c r="B623" s="87"/>
      <c r="C623" s="49"/>
      <c r="D623" s="85"/>
      <c r="E623" s="86"/>
      <c r="F623" s="85"/>
      <c r="G623" s="8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66"/>
    </row>
    <row r="624" spans="1:40" s="30" customFormat="1" x14ac:dyDescent="0.3">
      <c r="A624" s="11"/>
      <c r="B624" s="35" t="s">
        <v>82</v>
      </c>
      <c r="C624" s="28"/>
      <c r="D624" s="65" t="s">
        <v>67</v>
      </c>
      <c r="E624" s="65" t="s">
        <v>68</v>
      </c>
      <c r="F624" s="65" t="s">
        <v>69</v>
      </c>
      <c r="G624" s="65" t="s">
        <v>70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66"/>
    </row>
    <row r="625" spans="1:40" s="30" customFormat="1" x14ac:dyDescent="0.3">
      <c r="A625" s="11"/>
      <c r="B625" s="48" t="s">
        <v>39</v>
      </c>
      <c r="C625" s="49" t="s">
        <v>40</v>
      </c>
      <c r="D625" s="62"/>
      <c r="E625" s="47"/>
      <c r="F625" s="62"/>
      <c r="G625" s="4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66"/>
    </row>
    <row r="626" spans="1:40" s="30" customFormat="1" x14ac:dyDescent="0.3">
      <c r="A626" s="11"/>
      <c r="B626" s="48" t="s">
        <v>39</v>
      </c>
      <c r="C626" s="49" t="s">
        <v>41</v>
      </c>
      <c r="D626" s="62"/>
      <c r="E626" s="47"/>
      <c r="F626" s="62"/>
      <c r="G626" s="4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66"/>
    </row>
    <row r="627" spans="1:40" s="30" customFormat="1" x14ac:dyDescent="0.3">
      <c r="A627" s="11"/>
      <c r="B627" s="48" t="s">
        <v>39</v>
      </c>
      <c r="C627" s="49" t="s">
        <v>42</v>
      </c>
      <c r="D627" s="62"/>
      <c r="E627" s="47"/>
      <c r="F627" s="62"/>
      <c r="G627" s="4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66"/>
    </row>
    <row r="628" spans="1:40" s="30" customFormat="1" x14ac:dyDescent="0.3">
      <c r="A628" s="11"/>
      <c r="B628" s="48" t="s">
        <v>39</v>
      </c>
      <c r="C628" s="49" t="s">
        <v>43</v>
      </c>
      <c r="D628" s="62"/>
      <c r="E628" s="47"/>
      <c r="F628" s="62"/>
      <c r="G628" s="4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66"/>
    </row>
    <row r="629" spans="1:40" s="30" customFormat="1" x14ac:dyDescent="0.3">
      <c r="A629" s="11"/>
      <c r="B629" s="48" t="s">
        <v>39</v>
      </c>
      <c r="C629" s="49" t="s">
        <v>44</v>
      </c>
      <c r="D629" s="62"/>
      <c r="E629" s="47"/>
      <c r="F629" s="62"/>
      <c r="G629" s="4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66"/>
    </row>
    <row r="630" spans="1:40" s="30" customFormat="1" x14ac:dyDescent="0.3">
      <c r="A630" s="11"/>
      <c r="B630" s="87"/>
      <c r="C630" s="49"/>
      <c r="D630" s="85"/>
      <c r="E630" s="85"/>
      <c r="F630" s="85"/>
      <c r="G630" s="8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66"/>
    </row>
    <row r="631" spans="1:40" s="30" customFormat="1" x14ac:dyDescent="0.3">
      <c r="A631" s="11"/>
      <c r="B631" s="87"/>
      <c r="C631" s="49"/>
      <c r="D631" s="85"/>
      <c r="E631" s="86"/>
      <c r="F631" s="85"/>
      <c r="G631" s="8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66"/>
    </row>
    <row r="632" spans="1:40" s="30" customFormat="1" x14ac:dyDescent="0.3">
      <c r="A632" s="11"/>
      <c r="B632" s="35" t="s">
        <v>74</v>
      </c>
      <c r="C632" s="28"/>
      <c r="D632" s="65" t="s">
        <v>67</v>
      </c>
      <c r="E632" s="65" t="s">
        <v>68</v>
      </c>
      <c r="F632" s="65" t="s">
        <v>69</v>
      </c>
      <c r="G632" s="65" t="s">
        <v>70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66"/>
    </row>
    <row r="633" spans="1:40" s="30" customFormat="1" x14ac:dyDescent="0.3">
      <c r="A633" s="11"/>
      <c r="B633" s="48" t="s">
        <v>39</v>
      </c>
      <c r="C633" s="49" t="s">
        <v>40</v>
      </c>
      <c r="D633" s="62"/>
      <c r="E633" s="47"/>
      <c r="F633" s="62"/>
      <c r="G633" s="4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66"/>
    </row>
    <row r="634" spans="1:40" s="30" customFormat="1" x14ac:dyDescent="0.3">
      <c r="A634" s="11"/>
      <c r="B634" s="48" t="s">
        <v>39</v>
      </c>
      <c r="C634" s="49" t="s">
        <v>41</v>
      </c>
      <c r="D634" s="62"/>
      <c r="E634" s="47"/>
      <c r="F634" s="62"/>
      <c r="G634" s="4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66"/>
    </row>
    <row r="635" spans="1:40" s="30" customFormat="1" x14ac:dyDescent="0.3">
      <c r="A635" s="11"/>
      <c r="B635" s="48" t="s">
        <v>39</v>
      </c>
      <c r="C635" s="49" t="s">
        <v>42</v>
      </c>
      <c r="D635" s="62"/>
      <c r="E635" s="47"/>
      <c r="F635" s="62"/>
      <c r="G635" s="4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66"/>
    </row>
    <row r="636" spans="1:40" s="30" customFormat="1" x14ac:dyDescent="0.3">
      <c r="A636" s="11"/>
      <c r="B636" s="48" t="s">
        <v>39</v>
      </c>
      <c r="C636" s="49" t="s">
        <v>43</v>
      </c>
      <c r="D636" s="62"/>
      <c r="E636" s="47"/>
      <c r="F636" s="62"/>
      <c r="G636" s="4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66"/>
    </row>
    <row r="637" spans="1:40" s="30" customFormat="1" x14ac:dyDescent="0.3">
      <c r="A637" s="11"/>
      <c r="B637" s="48" t="s">
        <v>39</v>
      </c>
      <c r="C637" s="49" t="s">
        <v>44</v>
      </c>
      <c r="D637" s="62"/>
      <c r="E637" s="47"/>
      <c r="F637" s="62"/>
      <c r="G637" s="4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66"/>
    </row>
    <row r="638" spans="1:40" s="30" customFormat="1" x14ac:dyDescent="0.3">
      <c r="A638" s="11"/>
      <c r="B638" s="87"/>
      <c r="C638" s="49"/>
      <c r="D638" s="85"/>
      <c r="E638" s="85"/>
      <c r="F638" s="85"/>
      <c r="G638" s="8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66"/>
    </row>
    <row r="639" spans="1:40" s="30" customFormat="1" x14ac:dyDescent="0.3">
      <c r="A639" s="11"/>
      <c r="B639" s="87"/>
      <c r="C639" s="49"/>
      <c r="D639" s="85"/>
      <c r="E639" s="86"/>
      <c r="F639" s="85"/>
      <c r="G639" s="8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66"/>
    </row>
    <row r="640" spans="1:40" s="30" customFormat="1" x14ac:dyDescent="0.3">
      <c r="A640" s="11"/>
      <c r="B640" s="35" t="s">
        <v>75</v>
      </c>
      <c r="C640" s="28"/>
      <c r="D640" s="65" t="s">
        <v>67</v>
      </c>
      <c r="E640" s="65" t="s">
        <v>68</v>
      </c>
      <c r="F640" s="65" t="s">
        <v>69</v>
      </c>
      <c r="G640" s="65" t="s">
        <v>70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66"/>
    </row>
    <row r="641" spans="1:40" s="30" customFormat="1" x14ac:dyDescent="0.3">
      <c r="A641" s="11"/>
      <c r="B641" s="48" t="s">
        <v>39</v>
      </c>
      <c r="C641" s="49" t="s">
        <v>40</v>
      </c>
      <c r="D641" s="62"/>
      <c r="E641" s="47"/>
      <c r="F641" s="62"/>
      <c r="G641" s="4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66"/>
    </row>
    <row r="642" spans="1:40" s="30" customFormat="1" x14ac:dyDescent="0.3">
      <c r="A642" s="11"/>
      <c r="B642" s="48" t="s">
        <v>39</v>
      </c>
      <c r="C642" s="49" t="s">
        <v>41</v>
      </c>
      <c r="D642" s="62"/>
      <c r="E642" s="47"/>
      <c r="F642" s="62"/>
      <c r="G642" s="4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66"/>
    </row>
    <row r="643" spans="1:40" s="30" customFormat="1" x14ac:dyDescent="0.3">
      <c r="A643" s="11"/>
      <c r="B643" s="48" t="s">
        <v>39</v>
      </c>
      <c r="C643" s="49" t="s">
        <v>42</v>
      </c>
      <c r="D643" s="62"/>
      <c r="E643" s="47"/>
      <c r="F643" s="62"/>
      <c r="G643" s="4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66"/>
    </row>
    <row r="644" spans="1:40" s="30" customFormat="1" x14ac:dyDescent="0.3">
      <c r="A644" s="11"/>
      <c r="B644" s="48" t="s">
        <v>39</v>
      </c>
      <c r="C644" s="49" t="s">
        <v>43</v>
      </c>
      <c r="D644" s="62"/>
      <c r="E644" s="47"/>
      <c r="F644" s="62"/>
      <c r="G644" s="4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66"/>
    </row>
    <row r="645" spans="1:40" s="30" customFormat="1" x14ac:dyDescent="0.3">
      <c r="A645" s="11"/>
      <c r="B645" s="48" t="s">
        <v>39</v>
      </c>
      <c r="C645" s="49" t="s">
        <v>44</v>
      </c>
      <c r="D645" s="62"/>
      <c r="E645" s="47"/>
      <c r="F645" s="62"/>
      <c r="G645" s="4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66"/>
    </row>
    <row r="646" spans="1:40" s="30" customFormat="1" x14ac:dyDescent="0.3">
      <c r="A646" s="11"/>
      <c r="B646" s="87"/>
      <c r="C646" s="49"/>
      <c r="D646" s="85"/>
      <c r="E646" s="85"/>
      <c r="F646" s="85"/>
      <c r="G646" s="8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66"/>
    </row>
    <row r="647" spans="1:40" s="30" customFormat="1" x14ac:dyDescent="0.3">
      <c r="A647" s="11"/>
      <c r="B647" s="87"/>
      <c r="C647" s="49"/>
      <c r="D647" s="85"/>
      <c r="E647" s="86"/>
      <c r="F647" s="85"/>
      <c r="G647" s="8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66"/>
    </row>
    <row r="648" spans="1:40" s="30" customFormat="1" x14ac:dyDescent="0.3">
      <c r="A648" s="11"/>
      <c r="B648" s="35" t="s">
        <v>76</v>
      </c>
      <c r="C648" s="28"/>
      <c r="D648" s="65" t="s">
        <v>67</v>
      </c>
      <c r="E648" s="65" t="s">
        <v>68</v>
      </c>
      <c r="F648" s="65" t="s">
        <v>69</v>
      </c>
      <c r="G648" s="65" t="s">
        <v>70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66"/>
    </row>
    <row r="649" spans="1:40" s="30" customFormat="1" x14ac:dyDescent="0.3">
      <c r="A649" s="11"/>
      <c r="B649" s="48" t="s">
        <v>39</v>
      </c>
      <c r="C649" s="49" t="s">
        <v>40</v>
      </c>
      <c r="D649" s="62"/>
      <c r="E649" s="47"/>
      <c r="F649" s="62"/>
      <c r="G649" s="4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66"/>
    </row>
    <row r="650" spans="1:40" s="30" customFormat="1" x14ac:dyDescent="0.3">
      <c r="A650" s="11"/>
      <c r="B650" s="48" t="s">
        <v>39</v>
      </c>
      <c r="C650" s="49" t="s">
        <v>41</v>
      </c>
      <c r="D650" s="62"/>
      <c r="E650" s="47"/>
      <c r="F650" s="62"/>
      <c r="G650" s="4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66"/>
    </row>
    <row r="651" spans="1:40" s="30" customFormat="1" x14ac:dyDescent="0.3">
      <c r="A651" s="11"/>
      <c r="B651" s="48" t="s">
        <v>39</v>
      </c>
      <c r="C651" s="49" t="s">
        <v>42</v>
      </c>
      <c r="D651" s="62"/>
      <c r="E651" s="47"/>
      <c r="F651" s="62"/>
      <c r="G651" s="4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66"/>
    </row>
    <row r="652" spans="1:40" s="30" customFormat="1" x14ac:dyDescent="0.3">
      <c r="A652" s="11"/>
      <c r="B652" s="48" t="s">
        <v>39</v>
      </c>
      <c r="C652" s="49" t="s">
        <v>43</v>
      </c>
      <c r="D652" s="62"/>
      <c r="E652" s="47"/>
      <c r="F652" s="62"/>
      <c r="G652" s="4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66"/>
    </row>
    <row r="653" spans="1:40" s="30" customFormat="1" x14ac:dyDescent="0.3">
      <c r="A653" s="11"/>
      <c r="B653" s="48" t="s">
        <v>39</v>
      </c>
      <c r="C653" s="49" t="s">
        <v>44</v>
      </c>
      <c r="D653" s="62"/>
      <c r="E653" s="47"/>
      <c r="F653" s="62"/>
      <c r="G653" s="4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66"/>
    </row>
    <row r="654" spans="1:40" s="30" customFormat="1" x14ac:dyDescent="0.3">
      <c r="A654" s="11"/>
      <c r="B654" s="87"/>
      <c r="C654" s="49"/>
      <c r="D654" s="85"/>
      <c r="E654" s="85"/>
      <c r="F654" s="85"/>
      <c r="G654" s="8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66"/>
    </row>
    <row r="655" spans="1:40" s="30" customFormat="1" x14ac:dyDescent="0.3">
      <c r="A655" s="11"/>
      <c r="B655" s="87"/>
      <c r="C655" s="49"/>
      <c r="D655" s="85"/>
      <c r="E655" s="86"/>
      <c r="F655" s="85"/>
      <c r="G655" s="8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66"/>
    </row>
    <row r="656" spans="1:40" s="30" customFormat="1" x14ac:dyDescent="0.3">
      <c r="A656" s="11"/>
      <c r="B656" s="35" t="s">
        <v>77</v>
      </c>
      <c r="C656" s="28"/>
      <c r="D656" s="65" t="s">
        <v>67</v>
      </c>
      <c r="E656" s="65" t="s">
        <v>68</v>
      </c>
      <c r="F656" s="65" t="s">
        <v>69</v>
      </c>
      <c r="G656" s="65" t="s">
        <v>70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66"/>
    </row>
    <row r="657" spans="1:40" s="30" customFormat="1" x14ac:dyDescent="0.3">
      <c r="A657" s="11"/>
      <c r="B657" s="48" t="s">
        <v>39</v>
      </c>
      <c r="C657" s="49" t="s">
        <v>40</v>
      </c>
      <c r="D657" s="62"/>
      <c r="E657" s="47"/>
      <c r="F657" s="62"/>
      <c r="G657" s="4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66"/>
    </row>
    <row r="658" spans="1:40" s="30" customFormat="1" x14ac:dyDescent="0.3">
      <c r="A658" s="11"/>
      <c r="B658" s="48" t="s">
        <v>39</v>
      </c>
      <c r="C658" s="49" t="s">
        <v>41</v>
      </c>
      <c r="D658" s="62"/>
      <c r="E658" s="47"/>
      <c r="F658" s="62"/>
      <c r="G658" s="4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66"/>
    </row>
    <row r="659" spans="1:40" s="30" customFormat="1" x14ac:dyDescent="0.3">
      <c r="A659" s="11"/>
      <c r="B659" s="48" t="s">
        <v>39</v>
      </c>
      <c r="C659" s="49" t="s">
        <v>42</v>
      </c>
      <c r="D659" s="62"/>
      <c r="E659" s="47"/>
      <c r="F659" s="62"/>
      <c r="G659" s="4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66"/>
    </row>
    <row r="660" spans="1:40" s="30" customFormat="1" x14ac:dyDescent="0.3">
      <c r="A660" s="11"/>
      <c r="B660" s="48" t="s">
        <v>39</v>
      </c>
      <c r="C660" s="49" t="s">
        <v>43</v>
      </c>
      <c r="D660" s="62"/>
      <c r="E660" s="47"/>
      <c r="F660" s="62"/>
      <c r="G660" s="4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66"/>
    </row>
    <row r="661" spans="1:40" s="30" customFormat="1" x14ac:dyDescent="0.3">
      <c r="A661" s="11"/>
      <c r="B661" s="48" t="s">
        <v>39</v>
      </c>
      <c r="C661" s="49" t="s">
        <v>44</v>
      </c>
      <c r="D661" s="62"/>
      <c r="E661" s="47"/>
      <c r="F661" s="62"/>
      <c r="G661" s="4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66"/>
    </row>
    <row r="662" spans="1:40" s="30" customFormat="1" x14ac:dyDescent="0.3">
      <c r="A662" s="11"/>
      <c r="B662" s="87"/>
      <c r="C662" s="49"/>
      <c r="D662" s="85"/>
      <c r="E662" s="86"/>
      <c r="F662" s="85"/>
      <c r="G662" s="8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66"/>
    </row>
    <row r="663" spans="1:40" s="30" customFormat="1" x14ac:dyDescent="0.3">
      <c r="A663" s="11"/>
      <c r="B663" s="87"/>
      <c r="C663" s="49"/>
      <c r="D663" s="85"/>
      <c r="E663" s="86"/>
      <c r="F663" s="85"/>
      <c r="G663" s="8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66"/>
    </row>
    <row r="664" spans="1:40" s="30" customFormat="1" x14ac:dyDescent="0.3">
      <c r="A664" s="11"/>
      <c r="B664" s="35" t="s">
        <v>78</v>
      </c>
      <c r="C664" s="28"/>
      <c r="D664" s="65" t="s">
        <v>67</v>
      </c>
      <c r="E664" s="65" t="s">
        <v>68</v>
      </c>
      <c r="F664" s="65" t="s">
        <v>69</v>
      </c>
      <c r="G664" s="65" t="s">
        <v>70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66"/>
    </row>
    <row r="665" spans="1:40" s="30" customFormat="1" x14ac:dyDescent="0.3">
      <c r="A665" s="11"/>
      <c r="B665" s="48" t="s">
        <v>39</v>
      </c>
      <c r="C665" s="49" t="s">
        <v>40</v>
      </c>
      <c r="D665" s="62"/>
      <c r="E665" s="47"/>
      <c r="F665" s="62"/>
      <c r="G665" s="4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66"/>
    </row>
    <row r="666" spans="1:40" s="30" customFormat="1" x14ac:dyDescent="0.3">
      <c r="A666" s="11"/>
      <c r="B666" s="48" t="s">
        <v>39</v>
      </c>
      <c r="C666" s="49" t="s">
        <v>41</v>
      </c>
      <c r="D666" s="62"/>
      <c r="E666" s="47"/>
      <c r="F666" s="62"/>
      <c r="G666" s="4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66"/>
    </row>
    <row r="667" spans="1:40" s="30" customFormat="1" x14ac:dyDescent="0.3">
      <c r="A667" s="11"/>
      <c r="B667" s="48" t="s">
        <v>39</v>
      </c>
      <c r="C667" s="49" t="s">
        <v>42</v>
      </c>
      <c r="D667" s="62"/>
      <c r="E667" s="47"/>
      <c r="F667" s="62"/>
      <c r="G667" s="4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66"/>
    </row>
    <row r="668" spans="1:40" s="30" customFormat="1" x14ac:dyDescent="0.3">
      <c r="A668" s="11"/>
      <c r="B668" s="48" t="s">
        <v>39</v>
      </c>
      <c r="C668" s="49" t="s">
        <v>43</v>
      </c>
      <c r="D668" s="62"/>
      <c r="E668" s="47"/>
      <c r="F668" s="62"/>
      <c r="G668" s="4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66"/>
    </row>
    <row r="669" spans="1:40" s="30" customFormat="1" x14ac:dyDescent="0.3">
      <c r="A669" s="11"/>
      <c r="B669" s="48" t="s">
        <v>39</v>
      </c>
      <c r="C669" s="49" t="s">
        <v>44</v>
      </c>
      <c r="D669" s="62"/>
      <c r="E669" s="47"/>
      <c r="F669" s="62"/>
      <c r="G669" s="4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66"/>
    </row>
    <row r="670" spans="1:40" s="30" customFormat="1" x14ac:dyDescent="0.3">
      <c r="A670" s="11"/>
      <c r="B670" s="87"/>
      <c r="C670" s="49"/>
      <c r="D670" s="85"/>
      <c r="E670" s="86"/>
      <c r="F670" s="85"/>
      <c r="G670" s="8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66"/>
    </row>
    <row r="671" spans="1:40" s="30" customFormat="1" x14ac:dyDescent="0.3">
      <c r="A671" s="11"/>
      <c r="B671" s="87"/>
      <c r="C671" s="49"/>
      <c r="D671" s="85"/>
      <c r="E671" s="86"/>
      <c r="F671" s="85"/>
      <c r="G671" s="8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66"/>
    </row>
    <row r="672" spans="1:40" s="30" customFormat="1" x14ac:dyDescent="0.3">
      <c r="A672" s="11"/>
      <c r="B672" s="35" t="s">
        <v>79</v>
      </c>
      <c r="C672" s="28"/>
      <c r="D672" s="65" t="s">
        <v>67</v>
      </c>
      <c r="E672" s="65" t="s">
        <v>68</v>
      </c>
      <c r="F672" s="65" t="s">
        <v>69</v>
      </c>
      <c r="G672" s="65" t="s">
        <v>70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66"/>
    </row>
    <row r="673" spans="1:40" s="30" customFormat="1" x14ac:dyDescent="0.3">
      <c r="A673" s="11"/>
      <c r="B673" s="48" t="s">
        <v>39</v>
      </c>
      <c r="C673" s="49" t="s">
        <v>40</v>
      </c>
      <c r="D673" s="62"/>
      <c r="E673" s="47"/>
      <c r="F673" s="62"/>
      <c r="G673" s="4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66"/>
    </row>
    <row r="674" spans="1:40" s="30" customFormat="1" x14ac:dyDescent="0.3">
      <c r="A674" s="11"/>
      <c r="B674" s="48" t="s">
        <v>39</v>
      </c>
      <c r="C674" s="49" t="s">
        <v>41</v>
      </c>
      <c r="D674" s="62"/>
      <c r="E674" s="47"/>
      <c r="F674" s="62"/>
      <c r="G674" s="4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66"/>
    </row>
    <row r="675" spans="1:40" s="30" customFormat="1" x14ac:dyDescent="0.3">
      <c r="A675" s="11"/>
      <c r="B675" s="48" t="s">
        <v>39</v>
      </c>
      <c r="C675" s="49" t="s">
        <v>42</v>
      </c>
      <c r="D675" s="62"/>
      <c r="E675" s="47"/>
      <c r="F675" s="62"/>
      <c r="G675" s="4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66"/>
    </row>
    <row r="676" spans="1:40" s="30" customFormat="1" x14ac:dyDescent="0.3">
      <c r="A676" s="11"/>
      <c r="B676" s="48" t="s">
        <v>39</v>
      </c>
      <c r="C676" s="49" t="s">
        <v>43</v>
      </c>
      <c r="D676" s="62"/>
      <c r="E676" s="47"/>
      <c r="F676" s="62"/>
      <c r="G676" s="4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66"/>
    </row>
    <row r="677" spans="1:40" s="30" customFormat="1" x14ac:dyDescent="0.3">
      <c r="A677" s="11"/>
      <c r="B677" s="48" t="s">
        <v>39</v>
      </c>
      <c r="C677" s="49" t="s">
        <v>44</v>
      </c>
      <c r="D677" s="62"/>
      <c r="E677" s="47"/>
      <c r="F677" s="62"/>
      <c r="G677" s="4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66"/>
    </row>
    <row r="678" spans="1:40" s="30" customFormat="1" x14ac:dyDescent="0.3">
      <c r="A678" s="11"/>
      <c r="B678" s="87"/>
      <c r="C678" s="49"/>
      <c r="D678" s="85"/>
      <c r="E678" s="86"/>
      <c r="F678" s="85"/>
      <c r="G678" s="8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66"/>
    </row>
    <row r="679" spans="1:40" s="30" customFormat="1" x14ac:dyDescent="0.3">
      <c r="A679" s="11"/>
      <c r="B679" s="87"/>
      <c r="C679" s="49"/>
      <c r="D679" s="85"/>
      <c r="E679" s="86"/>
      <c r="F679" s="85"/>
      <c r="G679" s="8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66"/>
    </row>
    <row r="680" spans="1:40" s="30" customFormat="1" x14ac:dyDescent="0.3">
      <c r="A680" s="11"/>
      <c r="B680" s="35" t="s">
        <v>80</v>
      </c>
      <c r="C680" s="28"/>
      <c r="D680" s="65" t="s">
        <v>67</v>
      </c>
      <c r="E680" s="65" t="s">
        <v>68</v>
      </c>
      <c r="F680" s="65" t="s">
        <v>69</v>
      </c>
      <c r="G680" s="65" t="s">
        <v>70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66"/>
    </row>
    <row r="681" spans="1:40" s="30" customFormat="1" x14ac:dyDescent="0.3">
      <c r="A681" s="11"/>
      <c r="B681" s="48" t="s">
        <v>39</v>
      </c>
      <c r="C681" s="49" t="s">
        <v>40</v>
      </c>
      <c r="D681" s="63"/>
      <c r="E681" s="50"/>
      <c r="F681" s="63"/>
      <c r="G681" s="5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66"/>
    </row>
    <row r="682" spans="1:40" s="30" customFormat="1" x14ac:dyDescent="0.3">
      <c r="A682" s="11"/>
      <c r="B682" s="48" t="s">
        <v>39</v>
      </c>
      <c r="C682" s="49" t="s">
        <v>41</v>
      </c>
      <c r="D682" s="63"/>
      <c r="E682" s="50"/>
      <c r="F682" s="63"/>
      <c r="G682" s="5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66"/>
    </row>
    <row r="683" spans="1:40" s="30" customFormat="1" x14ac:dyDescent="0.3">
      <c r="A683" s="11"/>
      <c r="B683" s="48" t="s">
        <v>39</v>
      </c>
      <c r="C683" s="49" t="s">
        <v>42</v>
      </c>
      <c r="D683" s="63"/>
      <c r="E683" s="50"/>
      <c r="F683" s="63"/>
      <c r="G683" s="5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66"/>
    </row>
    <row r="684" spans="1:40" s="30" customFormat="1" x14ac:dyDescent="0.3">
      <c r="A684" s="11"/>
      <c r="B684" s="48" t="s">
        <v>39</v>
      </c>
      <c r="C684" s="49" t="s">
        <v>43</v>
      </c>
      <c r="D684" s="63"/>
      <c r="E684" s="50"/>
      <c r="F684" s="63"/>
      <c r="G684" s="5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66"/>
    </row>
    <row r="685" spans="1:40" s="30" customFormat="1" x14ac:dyDescent="0.3">
      <c r="A685" s="11"/>
      <c r="B685" s="48" t="s">
        <v>39</v>
      </c>
      <c r="C685" s="49" t="s">
        <v>44</v>
      </c>
      <c r="D685" s="63"/>
      <c r="E685" s="50"/>
      <c r="F685" s="63"/>
      <c r="G685" s="5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66"/>
    </row>
    <row r="686" spans="1:40" s="30" customFormat="1" x14ac:dyDescent="0.3">
      <c r="A686" s="11"/>
      <c r="B686" s="87"/>
      <c r="C686" s="49"/>
      <c r="D686" s="88"/>
      <c r="E686" s="89"/>
      <c r="F686" s="88"/>
      <c r="G686" s="8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66"/>
    </row>
    <row r="687" spans="1:40" s="30" customFormat="1" x14ac:dyDescent="0.3">
      <c r="A687" s="11"/>
      <c r="B687" s="87"/>
      <c r="C687" s="49"/>
      <c r="D687" s="88"/>
      <c r="E687" s="89"/>
      <c r="F687" s="88"/>
      <c r="G687" s="8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66"/>
    </row>
    <row r="688" spans="1:40" s="30" customFormat="1" x14ac:dyDescent="0.3">
      <c r="A688" s="11"/>
      <c r="B688" s="35" t="s">
        <v>71</v>
      </c>
      <c r="C688" s="28"/>
      <c r="D688" s="65" t="s">
        <v>67</v>
      </c>
      <c r="E688" s="65" t="s">
        <v>68</v>
      </c>
      <c r="F688" s="65" t="s">
        <v>69</v>
      </c>
      <c r="G688" s="65" t="s">
        <v>70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66"/>
    </row>
    <row r="689" spans="1:40" s="32" customFormat="1" x14ac:dyDescent="0.3">
      <c r="A689" s="11"/>
      <c r="B689" s="51" t="s">
        <v>45</v>
      </c>
      <c r="C689" s="52" t="s">
        <v>50</v>
      </c>
      <c r="D689" s="64">
        <v>9</v>
      </c>
      <c r="E689" s="53">
        <v>47</v>
      </c>
      <c r="F689" s="64">
        <v>431</v>
      </c>
      <c r="G689" s="53">
        <v>12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68"/>
    </row>
    <row r="690" spans="1:40" s="32" customFormat="1" x14ac:dyDescent="0.3">
      <c r="A690" s="11"/>
      <c r="B690" s="51" t="s">
        <v>45</v>
      </c>
      <c r="C690" s="52" t="s">
        <v>51</v>
      </c>
      <c r="D690" s="64">
        <v>7</v>
      </c>
      <c r="E690" s="53">
        <v>22</v>
      </c>
      <c r="F690" s="64">
        <v>296</v>
      </c>
      <c r="G690" s="53">
        <v>10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68"/>
    </row>
    <row r="691" spans="1:40" s="32" customFormat="1" x14ac:dyDescent="0.3">
      <c r="A691" s="11"/>
      <c r="B691" s="51" t="s">
        <v>45</v>
      </c>
      <c r="C691" s="52" t="s">
        <v>48</v>
      </c>
      <c r="D691" s="64">
        <v>6</v>
      </c>
      <c r="E691" s="53">
        <v>28</v>
      </c>
      <c r="F691" s="64">
        <v>505</v>
      </c>
      <c r="G691" s="53">
        <v>18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68"/>
    </row>
    <row r="692" spans="1:40" s="32" customFormat="1" x14ac:dyDescent="0.3">
      <c r="A692" s="11"/>
      <c r="B692" s="51" t="s">
        <v>45</v>
      </c>
      <c r="C692" s="52" t="s">
        <v>58</v>
      </c>
      <c r="D692" s="64">
        <v>16</v>
      </c>
      <c r="E692" s="53">
        <v>50</v>
      </c>
      <c r="F692" s="64">
        <v>863</v>
      </c>
      <c r="G692" s="53">
        <v>17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68"/>
    </row>
    <row r="693" spans="1:40" s="32" customFormat="1" x14ac:dyDescent="0.3">
      <c r="A693" s="11"/>
      <c r="B693" s="51" t="s">
        <v>45</v>
      </c>
      <c r="C693" s="52" t="s">
        <v>46</v>
      </c>
      <c r="D693" s="64">
        <v>8</v>
      </c>
      <c r="E693" s="53">
        <v>34</v>
      </c>
      <c r="F693" s="64">
        <v>796</v>
      </c>
      <c r="G693" s="53">
        <v>38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68"/>
    </row>
    <row r="694" spans="1:40" s="32" customFormat="1" x14ac:dyDescent="0.3">
      <c r="A694" s="11"/>
      <c r="B694" s="51" t="s">
        <v>45</v>
      </c>
      <c r="C694" s="52" t="s">
        <v>47</v>
      </c>
      <c r="D694" s="64">
        <v>9</v>
      </c>
      <c r="E694" s="53">
        <v>31</v>
      </c>
      <c r="F694" s="64">
        <v>578</v>
      </c>
      <c r="G694" s="53">
        <v>18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68"/>
    </row>
    <row r="695" spans="1:40" s="32" customFormat="1" x14ac:dyDescent="0.3">
      <c r="A695" s="11"/>
      <c r="B695" s="90"/>
      <c r="C695" s="52"/>
      <c r="D695" s="91">
        <f>SUM(D689:D694)</f>
        <v>55</v>
      </c>
      <c r="E695" s="91">
        <f t="shared" ref="E695:G695" si="155">SUM(E689:E694)</f>
        <v>212</v>
      </c>
      <c r="F695" s="91">
        <f t="shared" si="155"/>
        <v>3469</v>
      </c>
      <c r="G695" s="91">
        <f t="shared" si="155"/>
        <v>113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68"/>
    </row>
    <row r="696" spans="1:40" s="32" customFormat="1" x14ac:dyDescent="0.3">
      <c r="A696" s="11"/>
      <c r="B696" s="35" t="s">
        <v>72</v>
      </c>
      <c r="C696" s="28"/>
      <c r="D696" s="65" t="s">
        <v>67</v>
      </c>
      <c r="E696" s="65" t="s">
        <v>68</v>
      </c>
      <c r="F696" s="65" t="s">
        <v>69</v>
      </c>
      <c r="G696" s="65" t="s">
        <v>70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68"/>
    </row>
    <row r="697" spans="1:40" s="32" customFormat="1" x14ac:dyDescent="0.3">
      <c r="A697" s="11"/>
      <c r="B697" s="51" t="s">
        <v>45</v>
      </c>
      <c r="C697" s="52" t="s">
        <v>50</v>
      </c>
      <c r="D697" s="64"/>
      <c r="E697" s="53"/>
      <c r="F697" s="64"/>
      <c r="G697" s="5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68"/>
    </row>
    <row r="698" spans="1:40" s="32" customFormat="1" x14ac:dyDescent="0.3">
      <c r="A698" s="11"/>
      <c r="B698" s="51" t="s">
        <v>45</v>
      </c>
      <c r="C698" s="52" t="s">
        <v>51</v>
      </c>
      <c r="D698" s="64"/>
      <c r="E698" s="53"/>
      <c r="F698" s="64"/>
      <c r="G698" s="5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68"/>
    </row>
    <row r="699" spans="1:40" s="32" customFormat="1" x14ac:dyDescent="0.3">
      <c r="A699" s="11"/>
      <c r="B699" s="51" t="s">
        <v>45</v>
      </c>
      <c r="C699" s="52" t="s">
        <v>48</v>
      </c>
      <c r="D699" s="64"/>
      <c r="E699" s="53"/>
      <c r="F699" s="64"/>
      <c r="G699" s="5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68"/>
    </row>
    <row r="700" spans="1:40" s="32" customFormat="1" x14ac:dyDescent="0.3">
      <c r="A700" s="11"/>
      <c r="B700" s="51" t="s">
        <v>45</v>
      </c>
      <c r="C700" s="52" t="s">
        <v>58</v>
      </c>
      <c r="D700" s="64"/>
      <c r="E700" s="53"/>
      <c r="F700" s="64"/>
      <c r="G700" s="5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68"/>
    </row>
    <row r="701" spans="1:40" s="32" customFormat="1" x14ac:dyDescent="0.3">
      <c r="A701" s="11"/>
      <c r="B701" s="51" t="s">
        <v>45</v>
      </c>
      <c r="C701" s="52" t="s">
        <v>46</v>
      </c>
      <c r="D701" s="64"/>
      <c r="E701" s="53"/>
      <c r="F701" s="64"/>
      <c r="G701" s="5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68"/>
    </row>
    <row r="702" spans="1:40" s="32" customFormat="1" x14ac:dyDescent="0.3">
      <c r="A702" s="11"/>
      <c r="B702" s="51" t="s">
        <v>45</v>
      </c>
      <c r="C702" s="52" t="s">
        <v>47</v>
      </c>
      <c r="D702" s="64"/>
      <c r="E702" s="53"/>
      <c r="F702" s="64"/>
      <c r="G702" s="5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68"/>
    </row>
    <row r="703" spans="1:40" s="32" customFormat="1" x14ac:dyDescent="0.3">
      <c r="A703" s="11"/>
      <c r="B703" s="90"/>
      <c r="C703" s="52"/>
      <c r="D703" s="91"/>
      <c r="E703" s="91"/>
      <c r="F703" s="91"/>
      <c r="G703" s="9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68"/>
    </row>
    <row r="704" spans="1:40" s="32" customFormat="1" x14ac:dyDescent="0.3">
      <c r="A704" s="11"/>
      <c r="B704" s="35" t="s">
        <v>73</v>
      </c>
      <c r="C704" s="28"/>
      <c r="D704" s="65" t="s">
        <v>67</v>
      </c>
      <c r="E704" s="65" t="s">
        <v>68</v>
      </c>
      <c r="F704" s="65" t="s">
        <v>69</v>
      </c>
      <c r="G704" s="65" t="s">
        <v>70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68"/>
    </row>
    <row r="705" spans="1:40" s="32" customFormat="1" x14ac:dyDescent="0.3">
      <c r="A705" s="11"/>
      <c r="B705" s="51" t="s">
        <v>45</v>
      </c>
      <c r="C705" s="52" t="s">
        <v>50</v>
      </c>
      <c r="D705" s="64"/>
      <c r="E705" s="53"/>
      <c r="F705" s="64"/>
      <c r="G705" s="5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68"/>
    </row>
    <row r="706" spans="1:40" s="32" customFormat="1" x14ac:dyDescent="0.3">
      <c r="A706" s="11"/>
      <c r="B706" s="51" t="s">
        <v>45</v>
      </c>
      <c r="C706" s="52" t="s">
        <v>51</v>
      </c>
      <c r="D706" s="64"/>
      <c r="E706" s="53"/>
      <c r="F706" s="64"/>
      <c r="G706" s="5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68"/>
    </row>
    <row r="707" spans="1:40" s="32" customFormat="1" x14ac:dyDescent="0.3">
      <c r="A707" s="11"/>
      <c r="B707" s="51" t="s">
        <v>45</v>
      </c>
      <c r="C707" s="52" t="s">
        <v>48</v>
      </c>
      <c r="D707" s="64"/>
      <c r="E707" s="53"/>
      <c r="F707" s="64"/>
      <c r="G707" s="5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68"/>
    </row>
    <row r="708" spans="1:40" s="32" customFormat="1" x14ac:dyDescent="0.3">
      <c r="A708" s="11"/>
      <c r="B708" s="51" t="s">
        <v>45</v>
      </c>
      <c r="C708" s="52" t="s">
        <v>58</v>
      </c>
      <c r="D708" s="64"/>
      <c r="E708" s="53"/>
      <c r="F708" s="64"/>
      <c r="G708" s="5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68"/>
    </row>
    <row r="709" spans="1:40" s="32" customFormat="1" x14ac:dyDescent="0.3">
      <c r="A709" s="11"/>
      <c r="B709" s="51" t="s">
        <v>45</v>
      </c>
      <c r="C709" s="52" t="s">
        <v>46</v>
      </c>
      <c r="D709" s="64"/>
      <c r="E709" s="53"/>
      <c r="F709" s="64"/>
      <c r="G709" s="5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68"/>
    </row>
    <row r="710" spans="1:40" s="32" customFormat="1" x14ac:dyDescent="0.3">
      <c r="A710" s="11"/>
      <c r="B710" s="51" t="s">
        <v>45</v>
      </c>
      <c r="C710" s="52" t="s">
        <v>47</v>
      </c>
      <c r="D710" s="64"/>
      <c r="E710" s="53"/>
      <c r="F710" s="64"/>
      <c r="G710" s="5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68"/>
    </row>
    <row r="711" spans="1:40" s="32" customFormat="1" x14ac:dyDescent="0.3">
      <c r="A711" s="11"/>
      <c r="B711" s="90"/>
      <c r="C711" s="52"/>
      <c r="D711" s="91"/>
      <c r="E711" s="91"/>
      <c r="F711" s="91"/>
      <c r="G711" s="9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68"/>
    </row>
    <row r="712" spans="1:40" s="32" customFormat="1" x14ac:dyDescent="0.3">
      <c r="A712" s="11"/>
      <c r="B712" s="35" t="s">
        <v>81</v>
      </c>
      <c r="C712" s="28"/>
      <c r="D712" s="65" t="s">
        <v>67</v>
      </c>
      <c r="E712" s="65" t="s">
        <v>68</v>
      </c>
      <c r="F712" s="65" t="s">
        <v>69</v>
      </c>
      <c r="G712" s="65" t="s">
        <v>70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68"/>
    </row>
    <row r="713" spans="1:40" s="32" customFormat="1" x14ac:dyDescent="0.3">
      <c r="A713" s="11"/>
      <c r="B713" s="51" t="s">
        <v>45</v>
      </c>
      <c r="C713" s="52" t="s">
        <v>50</v>
      </c>
      <c r="D713" s="64"/>
      <c r="E713" s="53"/>
      <c r="F713" s="64"/>
      <c r="G713" s="5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68"/>
    </row>
    <row r="714" spans="1:40" s="32" customFormat="1" x14ac:dyDescent="0.3">
      <c r="A714" s="11"/>
      <c r="B714" s="51" t="s">
        <v>45</v>
      </c>
      <c r="C714" s="52" t="s">
        <v>51</v>
      </c>
      <c r="D714" s="64"/>
      <c r="E714" s="53"/>
      <c r="F714" s="64"/>
      <c r="G714" s="5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68"/>
    </row>
    <row r="715" spans="1:40" s="32" customFormat="1" x14ac:dyDescent="0.3">
      <c r="A715" s="11"/>
      <c r="B715" s="51" t="s">
        <v>45</v>
      </c>
      <c r="C715" s="52" t="s">
        <v>48</v>
      </c>
      <c r="D715" s="64"/>
      <c r="E715" s="53"/>
      <c r="F715" s="64"/>
      <c r="G715" s="5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68"/>
    </row>
    <row r="716" spans="1:40" s="32" customFormat="1" x14ac:dyDescent="0.3">
      <c r="A716" s="11"/>
      <c r="B716" s="51" t="s">
        <v>45</v>
      </c>
      <c r="C716" s="52" t="s">
        <v>58</v>
      </c>
      <c r="D716" s="64"/>
      <c r="E716" s="53"/>
      <c r="F716" s="64"/>
      <c r="G716" s="5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68"/>
    </row>
    <row r="717" spans="1:40" s="32" customFormat="1" x14ac:dyDescent="0.3">
      <c r="A717" s="11"/>
      <c r="B717" s="51" t="s">
        <v>45</v>
      </c>
      <c r="C717" s="52" t="s">
        <v>46</v>
      </c>
      <c r="D717" s="64"/>
      <c r="E717" s="53"/>
      <c r="F717" s="64"/>
      <c r="G717" s="5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68"/>
    </row>
    <row r="718" spans="1:40" s="32" customFormat="1" x14ac:dyDescent="0.3">
      <c r="A718" s="11"/>
      <c r="B718" s="51" t="s">
        <v>45</v>
      </c>
      <c r="C718" s="52" t="s">
        <v>47</v>
      </c>
      <c r="D718" s="64"/>
      <c r="E718" s="53"/>
      <c r="F718" s="64"/>
      <c r="G718" s="5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68"/>
    </row>
    <row r="719" spans="1:40" s="32" customFormat="1" x14ac:dyDescent="0.3">
      <c r="A719" s="11"/>
      <c r="B719" s="90"/>
      <c r="C719" s="52"/>
      <c r="D719" s="91"/>
      <c r="E719" s="91"/>
      <c r="F719" s="91"/>
      <c r="G719" s="9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68"/>
    </row>
    <row r="720" spans="1:40" s="32" customFormat="1" x14ac:dyDescent="0.3">
      <c r="A720" s="11"/>
      <c r="B720" s="35" t="s">
        <v>82</v>
      </c>
      <c r="C720" s="28"/>
      <c r="D720" s="65" t="s">
        <v>67</v>
      </c>
      <c r="E720" s="65" t="s">
        <v>68</v>
      </c>
      <c r="F720" s="65" t="s">
        <v>69</v>
      </c>
      <c r="G720" s="65" t="s">
        <v>70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68"/>
    </row>
    <row r="721" spans="1:40" s="32" customFormat="1" x14ac:dyDescent="0.3">
      <c r="A721" s="11"/>
      <c r="B721" s="51" t="s">
        <v>45</v>
      </c>
      <c r="C721" s="52" t="s">
        <v>50</v>
      </c>
      <c r="D721" s="64"/>
      <c r="E721" s="53"/>
      <c r="F721" s="64"/>
      <c r="G721" s="5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68"/>
    </row>
    <row r="722" spans="1:40" s="32" customFormat="1" x14ac:dyDescent="0.3">
      <c r="A722" s="11"/>
      <c r="B722" s="51" t="s">
        <v>45</v>
      </c>
      <c r="C722" s="52" t="s">
        <v>51</v>
      </c>
      <c r="D722" s="64"/>
      <c r="E722" s="53"/>
      <c r="F722" s="64"/>
      <c r="G722" s="5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68"/>
    </row>
    <row r="723" spans="1:40" s="32" customFormat="1" x14ac:dyDescent="0.3">
      <c r="A723" s="11"/>
      <c r="B723" s="51" t="s">
        <v>45</v>
      </c>
      <c r="C723" s="52" t="s">
        <v>48</v>
      </c>
      <c r="D723" s="64"/>
      <c r="E723" s="53"/>
      <c r="F723" s="64"/>
      <c r="G723" s="5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68"/>
    </row>
    <row r="724" spans="1:40" s="32" customFormat="1" x14ac:dyDescent="0.3">
      <c r="A724" s="11"/>
      <c r="B724" s="51" t="s">
        <v>45</v>
      </c>
      <c r="C724" s="52" t="s">
        <v>58</v>
      </c>
      <c r="D724" s="64"/>
      <c r="E724" s="53"/>
      <c r="F724" s="64"/>
      <c r="G724" s="5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68"/>
    </row>
    <row r="725" spans="1:40" s="32" customFormat="1" x14ac:dyDescent="0.3">
      <c r="A725" s="11"/>
      <c r="B725" s="51" t="s">
        <v>45</v>
      </c>
      <c r="C725" s="52" t="s">
        <v>46</v>
      </c>
      <c r="D725" s="64"/>
      <c r="E725" s="53"/>
      <c r="F725" s="64"/>
      <c r="G725" s="5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68"/>
    </row>
    <row r="726" spans="1:40" s="32" customFormat="1" x14ac:dyDescent="0.3">
      <c r="A726" s="11"/>
      <c r="B726" s="51" t="s">
        <v>45</v>
      </c>
      <c r="C726" s="52" t="s">
        <v>47</v>
      </c>
      <c r="D726" s="64"/>
      <c r="E726" s="53"/>
      <c r="F726" s="64"/>
      <c r="G726" s="5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68"/>
    </row>
    <row r="727" spans="1:40" s="32" customFormat="1" x14ac:dyDescent="0.3">
      <c r="A727" s="11"/>
      <c r="B727" s="90"/>
      <c r="C727" s="52"/>
      <c r="D727" s="91"/>
      <c r="E727" s="91"/>
      <c r="F727" s="91"/>
      <c r="G727" s="9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68"/>
    </row>
    <row r="728" spans="1:40" s="32" customFormat="1" x14ac:dyDescent="0.3">
      <c r="A728" s="11"/>
      <c r="B728" s="35" t="s">
        <v>74</v>
      </c>
      <c r="C728" s="28"/>
      <c r="D728" s="65" t="s">
        <v>67</v>
      </c>
      <c r="E728" s="65" t="s">
        <v>68</v>
      </c>
      <c r="F728" s="65" t="s">
        <v>69</v>
      </c>
      <c r="G728" s="65" t="s">
        <v>70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68"/>
    </row>
    <row r="729" spans="1:40" s="32" customFormat="1" x14ac:dyDescent="0.3">
      <c r="A729" s="11"/>
      <c r="B729" s="51" t="s">
        <v>45</v>
      </c>
      <c r="C729" s="52" t="s">
        <v>50</v>
      </c>
      <c r="D729" s="64"/>
      <c r="E729" s="53"/>
      <c r="F729" s="64"/>
      <c r="G729" s="5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68"/>
    </row>
    <row r="730" spans="1:40" s="32" customFormat="1" x14ac:dyDescent="0.3">
      <c r="A730" s="11"/>
      <c r="B730" s="51" t="s">
        <v>45</v>
      </c>
      <c r="C730" s="52" t="s">
        <v>51</v>
      </c>
      <c r="D730" s="64"/>
      <c r="E730" s="53"/>
      <c r="F730" s="64"/>
      <c r="G730" s="5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68"/>
    </row>
    <row r="731" spans="1:40" s="32" customFormat="1" x14ac:dyDescent="0.3">
      <c r="A731" s="11"/>
      <c r="B731" s="51" t="s">
        <v>45</v>
      </c>
      <c r="C731" s="52" t="s">
        <v>48</v>
      </c>
      <c r="D731" s="64"/>
      <c r="E731" s="53"/>
      <c r="F731" s="64"/>
      <c r="G731" s="5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68"/>
    </row>
    <row r="732" spans="1:40" s="32" customFormat="1" x14ac:dyDescent="0.3">
      <c r="A732" s="11"/>
      <c r="B732" s="51" t="s">
        <v>45</v>
      </c>
      <c r="C732" s="52" t="s">
        <v>58</v>
      </c>
      <c r="D732" s="64"/>
      <c r="E732" s="53"/>
      <c r="F732" s="64"/>
      <c r="G732" s="5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68"/>
    </row>
    <row r="733" spans="1:40" s="32" customFormat="1" x14ac:dyDescent="0.3">
      <c r="A733" s="11"/>
      <c r="B733" s="51" t="s">
        <v>45</v>
      </c>
      <c r="C733" s="52" t="s">
        <v>46</v>
      </c>
      <c r="D733" s="64"/>
      <c r="E733" s="53"/>
      <c r="F733" s="64"/>
      <c r="G733" s="5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68"/>
    </row>
    <row r="734" spans="1:40" s="32" customFormat="1" x14ac:dyDescent="0.3">
      <c r="A734" s="11"/>
      <c r="B734" s="51" t="s">
        <v>45</v>
      </c>
      <c r="C734" s="52" t="s">
        <v>47</v>
      </c>
      <c r="D734" s="64"/>
      <c r="E734" s="53"/>
      <c r="F734" s="64"/>
      <c r="G734" s="5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68"/>
    </row>
    <row r="735" spans="1:40" s="32" customFormat="1" x14ac:dyDescent="0.3">
      <c r="A735" s="11"/>
      <c r="B735" s="90"/>
      <c r="C735" s="52"/>
      <c r="D735" s="91"/>
      <c r="E735" s="91"/>
      <c r="F735" s="91"/>
      <c r="G735" s="9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68"/>
    </row>
    <row r="736" spans="1:40" s="32" customFormat="1" x14ac:dyDescent="0.3">
      <c r="A736" s="11"/>
      <c r="B736" s="35" t="s">
        <v>75</v>
      </c>
      <c r="C736" s="28"/>
      <c r="D736" s="65" t="s">
        <v>67</v>
      </c>
      <c r="E736" s="65" t="s">
        <v>68</v>
      </c>
      <c r="F736" s="65" t="s">
        <v>69</v>
      </c>
      <c r="G736" s="65" t="s">
        <v>70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68"/>
    </row>
    <row r="737" spans="1:40" s="32" customFormat="1" x14ac:dyDescent="0.3">
      <c r="A737" s="11"/>
      <c r="B737" s="51" t="s">
        <v>45</v>
      </c>
      <c r="C737" s="52" t="s">
        <v>50</v>
      </c>
      <c r="D737" s="64"/>
      <c r="E737" s="53"/>
      <c r="F737" s="64"/>
      <c r="G737" s="5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68"/>
    </row>
    <row r="738" spans="1:40" s="32" customFormat="1" x14ac:dyDescent="0.3">
      <c r="A738" s="11"/>
      <c r="B738" s="51" t="s">
        <v>45</v>
      </c>
      <c r="C738" s="52" t="s">
        <v>51</v>
      </c>
      <c r="D738" s="64"/>
      <c r="E738" s="53"/>
      <c r="F738" s="64"/>
      <c r="G738" s="5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68"/>
    </row>
    <row r="739" spans="1:40" s="32" customFormat="1" x14ac:dyDescent="0.3">
      <c r="A739" s="11"/>
      <c r="B739" s="51" t="s">
        <v>45</v>
      </c>
      <c r="C739" s="52" t="s">
        <v>48</v>
      </c>
      <c r="D739" s="64"/>
      <c r="E739" s="53"/>
      <c r="F739" s="64"/>
      <c r="G739" s="5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68"/>
    </row>
    <row r="740" spans="1:40" s="32" customFormat="1" x14ac:dyDescent="0.3">
      <c r="A740" s="11"/>
      <c r="B740" s="51" t="s">
        <v>45</v>
      </c>
      <c r="C740" s="52" t="s">
        <v>58</v>
      </c>
      <c r="D740" s="64"/>
      <c r="E740" s="53"/>
      <c r="F740" s="64"/>
      <c r="G740" s="5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68"/>
    </row>
    <row r="741" spans="1:40" s="32" customFormat="1" x14ac:dyDescent="0.3">
      <c r="A741" s="11"/>
      <c r="B741" s="51" t="s">
        <v>45</v>
      </c>
      <c r="C741" s="52" t="s">
        <v>46</v>
      </c>
      <c r="D741" s="64"/>
      <c r="E741" s="53"/>
      <c r="F741" s="64"/>
      <c r="G741" s="5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68"/>
    </row>
    <row r="742" spans="1:40" s="32" customFormat="1" x14ac:dyDescent="0.3">
      <c r="A742" s="11"/>
      <c r="B742" s="51" t="s">
        <v>45</v>
      </c>
      <c r="C742" s="52" t="s">
        <v>47</v>
      </c>
      <c r="D742" s="64"/>
      <c r="E742" s="53"/>
      <c r="F742" s="64"/>
      <c r="G742" s="5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68"/>
    </row>
    <row r="743" spans="1:40" s="32" customFormat="1" x14ac:dyDescent="0.3">
      <c r="A743" s="11"/>
      <c r="B743" s="90"/>
      <c r="C743" s="52"/>
      <c r="D743" s="91"/>
      <c r="E743" s="91"/>
      <c r="F743" s="91"/>
      <c r="G743" s="9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68"/>
    </row>
    <row r="744" spans="1:40" s="32" customFormat="1" x14ac:dyDescent="0.3">
      <c r="A744" s="11"/>
      <c r="B744" s="35" t="s">
        <v>76</v>
      </c>
      <c r="C744" s="28"/>
      <c r="D744" s="65" t="s">
        <v>67</v>
      </c>
      <c r="E744" s="65" t="s">
        <v>68</v>
      </c>
      <c r="F744" s="65" t="s">
        <v>69</v>
      </c>
      <c r="G744" s="65" t="s">
        <v>70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68"/>
    </row>
    <row r="745" spans="1:40" s="32" customFormat="1" x14ac:dyDescent="0.3">
      <c r="A745" s="11"/>
      <c r="B745" s="51" t="s">
        <v>45</v>
      </c>
      <c r="C745" s="52" t="s">
        <v>50</v>
      </c>
      <c r="D745" s="64"/>
      <c r="E745" s="53"/>
      <c r="F745" s="64"/>
      <c r="G745" s="5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68"/>
    </row>
    <row r="746" spans="1:40" s="32" customFormat="1" x14ac:dyDescent="0.3">
      <c r="A746" s="11"/>
      <c r="B746" s="51" t="s">
        <v>45</v>
      </c>
      <c r="C746" s="52" t="s">
        <v>51</v>
      </c>
      <c r="D746" s="64"/>
      <c r="E746" s="53"/>
      <c r="F746" s="64"/>
      <c r="G746" s="5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68"/>
    </row>
    <row r="747" spans="1:40" s="32" customFormat="1" x14ac:dyDescent="0.3">
      <c r="A747" s="11"/>
      <c r="B747" s="51" t="s">
        <v>45</v>
      </c>
      <c r="C747" s="52" t="s">
        <v>48</v>
      </c>
      <c r="D747" s="64"/>
      <c r="E747" s="53"/>
      <c r="F747" s="64"/>
      <c r="G747" s="5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68"/>
    </row>
    <row r="748" spans="1:40" s="32" customFormat="1" x14ac:dyDescent="0.3">
      <c r="A748" s="11"/>
      <c r="B748" s="51" t="s">
        <v>45</v>
      </c>
      <c r="C748" s="52" t="s">
        <v>58</v>
      </c>
      <c r="D748" s="64"/>
      <c r="E748" s="53"/>
      <c r="F748" s="64"/>
      <c r="G748" s="5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68"/>
    </row>
    <row r="749" spans="1:40" s="32" customFormat="1" x14ac:dyDescent="0.3">
      <c r="A749" s="11"/>
      <c r="B749" s="51" t="s">
        <v>45</v>
      </c>
      <c r="C749" s="52" t="s">
        <v>46</v>
      </c>
      <c r="D749" s="64"/>
      <c r="E749" s="53"/>
      <c r="F749" s="64"/>
      <c r="G749" s="5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68"/>
    </row>
    <row r="750" spans="1:40" s="32" customFormat="1" x14ac:dyDescent="0.3">
      <c r="A750" s="11"/>
      <c r="B750" s="51" t="s">
        <v>45</v>
      </c>
      <c r="C750" s="52" t="s">
        <v>47</v>
      </c>
      <c r="D750" s="64"/>
      <c r="E750" s="53"/>
      <c r="F750" s="64"/>
      <c r="G750" s="5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68"/>
    </row>
    <row r="751" spans="1:40" s="32" customFormat="1" x14ac:dyDescent="0.3">
      <c r="A751" s="11"/>
      <c r="B751" s="90"/>
      <c r="C751" s="52"/>
      <c r="D751" s="91"/>
      <c r="E751" s="91"/>
      <c r="F751" s="91"/>
      <c r="G751" s="9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68"/>
    </row>
    <row r="752" spans="1:40" s="32" customFormat="1" x14ac:dyDescent="0.3">
      <c r="A752" s="11"/>
      <c r="B752" s="35" t="s">
        <v>77</v>
      </c>
      <c r="C752" s="28"/>
      <c r="D752" s="65" t="s">
        <v>67</v>
      </c>
      <c r="E752" s="65" t="s">
        <v>68</v>
      </c>
      <c r="F752" s="65" t="s">
        <v>69</v>
      </c>
      <c r="G752" s="65" t="s">
        <v>70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68"/>
    </row>
    <row r="753" spans="1:40" s="32" customFormat="1" x14ac:dyDescent="0.3">
      <c r="A753" s="11"/>
      <c r="B753" s="51" t="s">
        <v>45</v>
      </c>
      <c r="C753" s="52" t="s">
        <v>50</v>
      </c>
      <c r="D753" s="64"/>
      <c r="E753" s="53"/>
      <c r="F753" s="64"/>
      <c r="G753" s="5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68"/>
    </row>
    <row r="754" spans="1:40" s="32" customFormat="1" x14ac:dyDescent="0.3">
      <c r="A754" s="11"/>
      <c r="B754" s="51" t="s">
        <v>45</v>
      </c>
      <c r="C754" s="52" t="s">
        <v>51</v>
      </c>
      <c r="D754" s="64"/>
      <c r="E754" s="53"/>
      <c r="F754" s="64"/>
      <c r="G754" s="5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68"/>
    </row>
    <row r="755" spans="1:40" s="32" customFormat="1" x14ac:dyDescent="0.3">
      <c r="A755" s="11"/>
      <c r="B755" s="51" t="s">
        <v>45</v>
      </c>
      <c r="C755" s="52" t="s">
        <v>48</v>
      </c>
      <c r="D755" s="64"/>
      <c r="E755" s="53"/>
      <c r="F755" s="64"/>
      <c r="G755" s="5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68"/>
    </row>
    <row r="756" spans="1:40" s="32" customFormat="1" x14ac:dyDescent="0.3">
      <c r="A756" s="11"/>
      <c r="B756" s="51" t="s">
        <v>45</v>
      </c>
      <c r="C756" s="52" t="s">
        <v>58</v>
      </c>
      <c r="D756" s="64"/>
      <c r="E756" s="53"/>
      <c r="F756" s="64"/>
      <c r="G756" s="5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68"/>
    </row>
    <row r="757" spans="1:40" s="32" customFormat="1" x14ac:dyDescent="0.3">
      <c r="A757" s="11"/>
      <c r="B757" s="51" t="s">
        <v>45</v>
      </c>
      <c r="C757" s="52" t="s">
        <v>46</v>
      </c>
      <c r="D757" s="64"/>
      <c r="E757" s="53"/>
      <c r="F757" s="64"/>
      <c r="G757" s="5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68"/>
    </row>
    <row r="758" spans="1:40" s="32" customFormat="1" x14ac:dyDescent="0.3">
      <c r="A758" s="11"/>
      <c r="B758" s="51" t="s">
        <v>45</v>
      </c>
      <c r="C758" s="52" t="s">
        <v>47</v>
      </c>
      <c r="D758" s="64"/>
      <c r="E758" s="53"/>
      <c r="F758" s="64"/>
      <c r="G758" s="5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68"/>
    </row>
    <row r="759" spans="1:40" s="32" customFormat="1" x14ac:dyDescent="0.3">
      <c r="A759" s="11"/>
      <c r="B759" s="90"/>
      <c r="C759" s="52"/>
      <c r="D759" s="91"/>
      <c r="E759" s="92"/>
      <c r="F759" s="91"/>
      <c r="G759" s="9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68"/>
    </row>
    <row r="760" spans="1:40" s="32" customFormat="1" x14ac:dyDescent="0.3">
      <c r="A760" s="11"/>
      <c r="B760" s="35" t="s">
        <v>78</v>
      </c>
      <c r="C760" s="28"/>
      <c r="D760" s="65" t="s">
        <v>67</v>
      </c>
      <c r="E760" s="65" t="s">
        <v>68</v>
      </c>
      <c r="F760" s="65" t="s">
        <v>69</v>
      </c>
      <c r="G760" s="65" t="s">
        <v>70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68"/>
    </row>
    <row r="761" spans="1:40" s="32" customFormat="1" x14ac:dyDescent="0.3">
      <c r="A761" s="11"/>
      <c r="B761" s="51" t="s">
        <v>45</v>
      </c>
      <c r="C761" s="52" t="s">
        <v>50</v>
      </c>
      <c r="D761" s="64"/>
      <c r="E761" s="53"/>
      <c r="F761" s="64"/>
      <c r="G761" s="5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68"/>
    </row>
    <row r="762" spans="1:40" s="32" customFormat="1" x14ac:dyDescent="0.3">
      <c r="A762" s="11"/>
      <c r="B762" s="51" t="s">
        <v>45</v>
      </c>
      <c r="C762" s="52" t="s">
        <v>51</v>
      </c>
      <c r="D762" s="64"/>
      <c r="E762" s="53"/>
      <c r="F762" s="64"/>
      <c r="G762" s="5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68"/>
    </row>
    <row r="763" spans="1:40" s="32" customFormat="1" x14ac:dyDescent="0.3">
      <c r="A763" s="11"/>
      <c r="B763" s="51" t="s">
        <v>45</v>
      </c>
      <c r="C763" s="52" t="s">
        <v>48</v>
      </c>
      <c r="D763" s="64"/>
      <c r="E763" s="53"/>
      <c r="F763" s="64"/>
      <c r="G763" s="5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68"/>
    </row>
    <row r="764" spans="1:40" s="32" customFormat="1" x14ac:dyDescent="0.3">
      <c r="A764" s="11"/>
      <c r="B764" s="51" t="s">
        <v>45</v>
      </c>
      <c r="C764" s="52" t="s">
        <v>58</v>
      </c>
      <c r="D764" s="64"/>
      <c r="E764" s="53"/>
      <c r="F764" s="64"/>
      <c r="G764" s="5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68"/>
    </row>
    <row r="765" spans="1:40" s="32" customFormat="1" x14ac:dyDescent="0.3">
      <c r="A765" s="11"/>
      <c r="B765" s="51" t="s">
        <v>45</v>
      </c>
      <c r="C765" s="52" t="s">
        <v>46</v>
      </c>
      <c r="D765" s="64"/>
      <c r="E765" s="53"/>
      <c r="F765" s="64"/>
      <c r="G765" s="5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68"/>
    </row>
    <row r="766" spans="1:40" s="32" customFormat="1" x14ac:dyDescent="0.3">
      <c r="A766" s="11"/>
      <c r="B766" s="51" t="s">
        <v>45</v>
      </c>
      <c r="C766" s="52" t="s">
        <v>47</v>
      </c>
      <c r="D766" s="64"/>
      <c r="E766" s="53"/>
      <c r="F766" s="64"/>
      <c r="G766" s="5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68"/>
    </row>
    <row r="767" spans="1:40" s="32" customFormat="1" x14ac:dyDescent="0.3">
      <c r="A767" s="11"/>
      <c r="B767" s="90"/>
      <c r="C767" s="52"/>
      <c r="D767" s="91"/>
      <c r="E767" s="92"/>
      <c r="F767" s="91"/>
      <c r="G767" s="9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68"/>
    </row>
    <row r="768" spans="1:40" s="32" customFormat="1" x14ac:dyDescent="0.3">
      <c r="A768" s="11"/>
      <c r="B768" s="35" t="s">
        <v>79</v>
      </c>
      <c r="C768" s="28"/>
      <c r="D768" s="65" t="s">
        <v>67</v>
      </c>
      <c r="E768" s="65" t="s">
        <v>68</v>
      </c>
      <c r="F768" s="65" t="s">
        <v>69</v>
      </c>
      <c r="G768" s="65" t="s">
        <v>70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68"/>
    </row>
    <row r="769" spans="1:40" s="32" customFormat="1" x14ac:dyDescent="0.3">
      <c r="A769" s="11"/>
      <c r="B769" s="51" t="s">
        <v>45</v>
      </c>
      <c r="C769" s="52" t="s">
        <v>50</v>
      </c>
      <c r="D769" s="64"/>
      <c r="E769" s="53"/>
      <c r="F769" s="64"/>
      <c r="G769" s="5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68"/>
    </row>
    <row r="770" spans="1:40" s="32" customFormat="1" x14ac:dyDescent="0.3">
      <c r="A770" s="11"/>
      <c r="B770" s="51" t="s">
        <v>45</v>
      </c>
      <c r="C770" s="52" t="s">
        <v>51</v>
      </c>
      <c r="D770" s="64"/>
      <c r="E770" s="53"/>
      <c r="F770" s="64"/>
      <c r="G770" s="5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68"/>
    </row>
    <row r="771" spans="1:40" s="32" customFormat="1" x14ac:dyDescent="0.3">
      <c r="A771" s="11"/>
      <c r="B771" s="51" t="s">
        <v>45</v>
      </c>
      <c r="C771" s="52" t="s">
        <v>48</v>
      </c>
      <c r="D771" s="64"/>
      <c r="E771" s="53"/>
      <c r="F771" s="64"/>
      <c r="G771" s="5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68"/>
    </row>
    <row r="772" spans="1:40" s="32" customFormat="1" x14ac:dyDescent="0.3">
      <c r="A772" s="11"/>
      <c r="B772" s="51" t="s">
        <v>45</v>
      </c>
      <c r="C772" s="52" t="s">
        <v>58</v>
      </c>
      <c r="D772" s="64"/>
      <c r="E772" s="53"/>
      <c r="F772" s="64"/>
      <c r="G772" s="5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68"/>
    </row>
    <row r="773" spans="1:40" s="32" customFormat="1" x14ac:dyDescent="0.3">
      <c r="A773" s="11"/>
      <c r="B773" s="51" t="s">
        <v>45</v>
      </c>
      <c r="C773" s="52" t="s">
        <v>46</v>
      </c>
      <c r="D773" s="64"/>
      <c r="E773" s="53"/>
      <c r="F773" s="64"/>
      <c r="G773" s="5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68"/>
    </row>
    <row r="774" spans="1:40" s="32" customFormat="1" x14ac:dyDescent="0.3">
      <c r="A774" s="11"/>
      <c r="B774" s="51" t="s">
        <v>45</v>
      </c>
      <c r="C774" s="52" t="s">
        <v>47</v>
      </c>
      <c r="D774" s="64"/>
      <c r="E774" s="53"/>
      <c r="F774" s="64"/>
      <c r="G774" s="5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68"/>
    </row>
    <row r="775" spans="1:40" s="32" customFormat="1" x14ac:dyDescent="0.3">
      <c r="A775" s="11"/>
      <c r="B775" s="90"/>
      <c r="C775" s="52"/>
      <c r="D775" s="91"/>
      <c r="E775" s="92"/>
      <c r="F775" s="91"/>
      <c r="G775" s="9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68"/>
    </row>
    <row r="776" spans="1:40" s="32" customFormat="1" x14ac:dyDescent="0.3">
      <c r="A776" s="11"/>
      <c r="B776" s="35" t="s">
        <v>80</v>
      </c>
      <c r="C776" s="28"/>
      <c r="D776" s="65" t="s">
        <v>67</v>
      </c>
      <c r="E776" s="65" t="s">
        <v>68</v>
      </c>
      <c r="F776" s="65" t="s">
        <v>69</v>
      </c>
      <c r="G776" s="65" t="s">
        <v>70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68"/>
    </row>
    <row r="777" spans="1:40" s="32" customFormat="1" x14ac:dyDescent="0.3">
      <c r="A777" s="11"/>
      <c r="B777" s="51" t="s">
        <v>45</v>
      </c>
      <c r="C777" s="52" t="s">
        <v>50</v>
      </c>
      <c r="D777" s="64"/>
      <c r="E777" s="53"/>
      <c r="F777" s="64"/>
      <c r="G777" s="5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68"/>
    </row>
    <row r="778" spans="1:40" s="32" customFormat="1" x14ac:dyDescent="0.3">
      <c r="A778" s="11"/>
      <c r="B778" s="51" t="s">
        <v>45</v>
      </c>
      <c r="C778" s="52" t="s">
        <v>51</v>
      </c>
      <c r="D778" s="64"/>
      <c r="E778" s="53"/>
      <c r="F778" s="64"/>
      <c r="G778" s="5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68"/>
    </row>
    <row r="779" spans="1:40" s="32" customFormat="1" x14ac:dyDescent="0.3">
      <c r="A779" s="11"/>
      <c r="B779" s="51" t="s">
        <v>45</v>
      </c>
      <c r="C779" s="52" t="s">
        <v>48</v>
      </c>
      <c r="D779" s="64"/>
      <c r="E779" s="53"/>
      <c r="F779" s="64"/>
      <c r="G779" s="5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68"/>
    </row>
    <row r="780" spans="1:40" s="32" customFormat="1" x14ac:dyDescent="0.3">
      <c r="A780" s="11"/>
      <c r="B780" s="51" t="s">
        <v>45</v>
      </c>
      <c r="C780" s="52" t="s">
        <v>58</v>
      </c>
      <c r="D780" s="64"/>
      <c r="E780" s="53"/>
      <c r="F780" s="64"/>
      <c r="G780" s="5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68"/>
    </row>
    <row r="781" spans="1:40" s="32" customFormat="1" x14ac:dyDescent="0.3">
      <c r="A781" s="11"/>
      <c r="B781" s="51" t="s">
        <v>45</v>
      </c>
      <c r="C781" s="52" t="s">
        <v>46</v>
      </c>
      <c r="D781" s="64"/>
      <c r="E781" s="53"/>
      <c r="F781" s="64"/>
      <c r="G781" s="5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68"/>
    </row>
    <row r="782" spans="1:40" s="32" customFormat="1" x14ac:dyDescent="0.3">
      <c r="A782" s="11"/>
      <c r="B782" s="51" t="s">
        <v>45</v>
      </c>
      <c r="C782" s="52" t="s">
        <v>47</v>
      </c>
      <c r="D782" s="64"/>
      <c r="E782" s="53"/>
      <c r="F782" s="64"/>
      <c r="G782" s="5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68"/>
    </row>
    <row r="783" spans="1:40" s="32" customFormat="1" x14ac:dyDescent="0.3">
      <c r="A783" s="11"/>
      <c r="B783" s="51"/>
      <c r="C783" s="52"/>
      <c r="D783" s="64"/>
      <c r="E783" s="53"/>
      <c r="F783" s="64"/>
      <c r="G783" s="5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68"/>
    </row>
  </sheetData>
  <sortState xmlns:xlrd2="http://schemas.microsoft.com/office/spreadsheetml/2017/richdata2" ref="A689:G783">
    <sortCondition ref="C689:C783"/>
    <sortCondition ref="A689:A783"/>
  </sortState>
  <pageMargins left="0.39370078740157483" right="0.39370078740157483" top="0.78740157480314965" bottom="1.1811023622047245" header="0.31496062992125984" footer="0.31496062992125984"/>
  <pageSetup paperSize="5" scale="90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9036-B193-4313-A8AA-FB7293523202}">
  <dimension ref="A1:H9"/>
  <sheetViews>
    <sheetView workbookViewId="0">
      <selection activeCell="E18" sqref="E18"/>
    </sheetView>
  </sheetViews>
  <sheetFormatPr defaultRowHeight="14.4" x14ac:dyDescent="0.3"/>
  <cols>
    <col min="2" max="2" width="2.6640625" customWidth="1"/>
    <col min="4" max="4" width="12.109375" customWidth="1"/>
  </cols>
  <sheetData>
    <row r="1" spans="1:8" x14ac:dyDescent="0.3">
      <c r="A1" t="s">
        <v>98</v>
      </c>
      <c r="C1" t="s">
        <v>97</v>
      </c>
    </row>
    <row r="2" spans="1:8" x14ac:dyDescent="0.3">
      <c r="A2">
        <v>8</v>
      </c>
      <c r="C2">
        <v>1</v>
      </c>
      <c r="D2" t="s">
        <v>45</v>
      </c>
      <c r="E2">
        <v>55</v>
      </c>
      <c r="F2">
        <v>212</v>
      </c>
      <c r="G2">
        <v>3469</v>
      </c>
      <c r="H2">
        <v>113</v>
      </c>
    </row>
    <row r="3" spans="1:8" x14ac:dyDescent="0.3">
      <c r="A3">
        <v>6</v>
      </c>
      <c r="C3">
        <v>2</v>
      </c>
      <c r="D3" t="s">
        <v>33</v>
      </c>
      <c r="E3">
        <v>27</v>
      </c>
      <c r="F3">
        <v>122</v>
      </c>
      <c r="G3">
        <v>2890</v>
      </c>
      <c r="H3">
        <v>173</v>
      </c>
    </row>
    <row r="4" spans="1:8" x14ac:dyDescent="0.3">
      <c r="A4">
        <v>3</v>
      </c>
      <c r="C4">
        <v>3</v>
      </c>
      <c r="D4" t="s">
        <v>16</v>
      </c>
      <c r="E4">
        <v>35</v>
      </c>
      <c r="F4">
        <v>198</v>
      </c>
      <c r="G4">
        <v>2444</v>
      </c>
      <c r="H4">
        <v>150</v>
      </c>
    </row>
    <row r="5" spans="1:8" x14ac:dyDescent="0.3">
      <c r="A5">
        <v>1</v>
      </c>
      <c r="C5">
        <v>4</v>
      </c>
      <c r="D5" t="s">
        <v>1</v>
      </c>
      <c r="E5">
        <v>58</v>
      </c>
      <c r="F5">
        <v>287</v>
      </c>
      <c r="G5">
        <v>3145</v>
      </c>
      <c r="H5">
        <v>94</v>
      </c>
    </row>
    <row r="6" spans="1:8" x14ac:dyDescent="0.3">
      <c r="A6">
        <v>7</v>
      </c>
      <c r="C6">
        <v>5</v>
      </c>
      <c r="D6" t="s">
        <v>39</v>
      </c>
      <c r="E6">
        <v>23</v>
      </c>
      <c r="F6">
        <v>112</v>
      </c>
      <c r="G6">
        <v>3321</v>
      </c>
      <c r="H6">
        <v>131</v>
      </c>
    </row>
    <row r="7" spans="1:8" x14ac:dyDescent="0.3">
      <c r="A7">
        <v>5</v>
      </c>
      <c r="C7">
        <v>6</v>
      </c>
      <c r="D7" t="s">
        <v>28</v>
      </c>
      <c r="E7">
        <v>41</v>
      </c>
      <c r="F7">
        <v>165</v>
      </c>
      <c r="G7">
        <v>1829</v>
      </c>
      <c r="H7">
        <v>100</v>
      </c>
    </row>
    <row r="8" spans="1:8" x14ac:dyDescent="0.3">
      <c r="A8">
        <v>4</v>
      </c>
      <c r="C8">
        <v>7</v>
      </c>
      <c r="D8" t="s">
        <v>21</v>
      </c>
      <c r="E8">
        <v>29</v>
      </c>
      <c r="F8">
        <v>94</v>
      </c>
      <c r="G8">
        <v>1342</v>
      </c>
      <c r="H8">
        <v>91</v>
      </c>
    </row>
    <row r="9" spans="1:8" x14ac:dyDescent="0.3">
      <c r="A9">
        <v>2</v>
      </c>
      <c r="C9">
        <v>8</v>
      </c>
      <c r="D9" t="s">
        <v>8</v>
      </c>
      <c r="E9">
        <v>38</v>
      </c>
      <c r="F9">
        <v>203</v>
      </c>
      <c r="G9">
        <v>4253</v>
      </c>
      <c r="H9">
        <v>234</v>
      </c>
    </row>
  </sheetData>
  <autoFilter ref="A1:H1" xr:uid="{936F9036-B193-4313-A8AA-FB7293523202}">
    <sortState xmlns:xlrd2="http://schemas.microsoft.com/office/spreadsheetml/2017/richdata2" ref="A2:H9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8"/>
  <sheetViews>
    <sheetView zoomScale="90" zoomScaleNormal="90" workbookViewId="0">
      <selection activeCell="H14" sqref="H14"/>
    </sheetView>
  </sheetViews>
  <sheetFormatPr defaultColWidth="9.33203125" defaultRowHeight="14.4" x14ac:dyDescent="0.3"/>
  <cols>
    <col min="1" max="1" width="7.6640625" style="2" customWidth="1"/>
    <col min="2" max="2" width="22.6640625" style="2" customWidth="1"/>
    <col min="3" max="3" width="18.44140625" style="2" customWidth="1"/>
    <col min="4" max="4" width="16.33203125" style="2" customWidth="1"/>
    <col min="5" max="5" width="4.33203125" style="99" customWidth="1"/>
    <col min="6" max="6" width="2.44140625" style="24" customWidth="1"/>
    <col min="7" max="7" width="8.6640625" style="2" customWidth="1"/>
    <col min="8" max="8" width="18" style="2" customWidth="1"/>
    <col min="9" max="9" width="19.6640625" style="2" customWidth="1"/>
    <col min="10" max="10" width="15.33203125" style="2" customWidth="1"/>
    <col min="11" max="11" width="4.6640625" style="99" customWidth="1"/>
    <col min="12" max="12" width="1.33203125" style="26" customWidth="1"/>
    <col min="13" max="13" width="9.44140625" style="2" customWidth="1"/>
    <col min="14" max="14" width="16.5546875" style="2" customWidth="1"/>
    <col min="15" max="15" width="20.6640625" style="2" customWidth="1"/>
    <col min="16" max="16" width="15.44140625" style="2" customWidth="1"/>
    <col min="17" max="17" width="4" style="99" customWidth="1"/>
    <col min="18" max="18" width="9.44140625" style="2" customWidth="1"/>
    <col min="19" max="19" width="16.5546875" style="2" customWidth="1"/>
    <col min="20" max="20" width="20.6640625" style="2" customWidth="1"/>
    <col min="21" max="21" width="15.44140625" style="2" customWidth="1"/>
    <col min="22" max="23" width="4" style="99" customWidth="1"/>
    <col min="24" max="24" width="3.33203125" style="99" customWidth="1"/>
    <col min="25" max="25" width="14.44140625" style="2" customWidth="1"/>
    <col min="26" max="26" width="14.6640625" style="2" customWidth="1"/>
    <col min="27" max="16384" width="9.33203125" style="2"/>
  </cols>
  <sheetData>
    <row r="1" spans="1:25" ht="18" x14ac:dyDescent="0.3">
      <c r="A1" s="1" t="s">
        <v>59</v>
      </c>
    </row>
    <row r="2" spans="1:25" ht="18" x14ac:dyDescent="0.3">
      <c r="A2" s="1" t="s">
        <v>66</v>
      </c>
    </row>
    <row r="3" spans="1:25" ht="18" x14ac:dyDescent="0.3">
      <c r="A3" s="1"/>
      <c r="B3" s="1"/>
    </row>
    <row r="4" spans="1:25" s="15" customFormat="1" ht="18.75" customHeight="1" x14ac:dyDescent="0.3">
      <c r="A4" s="105" t="s">
        <v>62</v>
      </c>
      <c r="B4" s="106"/>
      <c r="C4" s="106"/>
      <c r="D4" s="107"/>
      <c r="E4" s="100"/>
      <c r="F4" s="25"/>
      <c r="G4" s="108" t="s">
        <v>63</v>
      </c>
      <c r="H4" s="109"/>
      <c r="I4" s="109"/>
      <c r="J4" s="110"/>
      <c r="K4" s="100"/>
      <c r="L4" s="27"/>
      <c r="M4" s="111" t="s">
        <v>64</v>
      </c>
      <c r="N4" s="112"/>
      <c r="O4" s="112"/>
      <c r="P4" s="113"/>
      <c r="Q4" s="101"/>
      <c r="R4" s="111" t="s">
        <v>65</v>
      </c>
      <c r="S4" s="112"/>
      <c r="T4" s="112"/>
      <c r="U4" s="113"/>
      <c r="V4" s="101"/>
      <c r="W4" s="101"/>
      <c r="X4" s="101"/>
      <c r="Y4" s="18" t="s">
        <v>56</v>
      </c>
    </row>
    <row r="5" spans="1:25" s="11" customFormat="1" x14ac:dyDescent="0.3">
      <c r="A5" s="16" t="s">
        <v>52</v>
      </c>
      <c r="B5" s="16" t="s">
        <v>0</v>
      </c>
      <c r="C5" s="16" t="s">
        <v>53</v>
      </c>
      <c r="D5" s="16" t="s">
        <v>54</v>
      </c>
      <c r="E5" s="101" t="s">
        <v>55</v>
      </c>
      <c r="F5" s="24"/>
      <c r="G5" s="16" t="s">
        <v>52</v>
      </c>
      <c r="H5" s="16" t="s">
        <v>0</v>
      </c>
      <c r="I5" s="16" t="s">
        <v>53</v>
      </c>
      <c r="J5" s="16" t="s">
        <v>54</v>
      </c>
      <c r="K5" s="101" t="s">
        <v>55</v>
      </c>
      <c r="L5" s="24"/>
      <c r="M5" s="16" t="s">
        <v>52</v>
      </c>
      <c r="N5" s="16" t="s">
        <v>0</v>
      </c>
      <c r="O5" s="16" t="s">
        <v>53</v>
      </c>
      <c r="P5" s="16" t="s">
        <v>54</v>
      </c>
      <c r="Q5" s="99" t="s">
        <v>55</v>
      </c>
      <c r="R5" s="16" t="s">
        <v>52</v>
      </c>
      <c r="S5" s="16" t="s">
        <v>0</v>
      </c>
      <c r="T5" s="16" t="s">
        <v>53</v>
      </c>
      <c r="U5" s="16" t="s">
        <v>54</v>
      </c>
      <c r="V5" s="99"/>
      <c r="W5" s="99"/>
      <c r="X5" s="99"/>
      <c r="Y5" s="22"/>
    </row>
    <row r="6" spans="1:25" x14ac:dyDescent="0.3">
      <c r="A6" s="3">
        <v>1</v>
      </c>
      <c r="B6" s="4" t="s">
        <v>1</v>
      </c>
      <c r="C6" s="5" t="s">
        <v>2</v>
      </c>
      <c r="D6" s="17">
        <f>'input SKDN 2026'!P16</f>
        <v>2</v>
      </c>
      <c r="E6" s="102" t="str">
        <f t="shared" ref="E6:E48" si="0">IF(D6&gt;90,"1",IF(D6=90,"2",IF(D6&gt;=80,"2",IF(D6&lt;80,"3"))))</f>
        <v>3</v>
      </c>
      <c r="G6" s="3">
        <v>1</v>
      </c>
      <c r="H6" s="4" t="s">
        <v>1</v>
      </c>
      <c r="I6" s="5" t="s">
        <v>2</v>
      </c>
      <c r="J6" s="17">
        <f>'input SKDN 2026'!Q16</f>
        <v>24</v>
      </c>
      <c r="K6" s="102" t="str">
        <f t="shared" ref="K6:K48" si="1">IF(J6&gt;10,"3",IF(J6=10,"2",IF(J6=5,"2",IF(J6&gt;5,"2",IF(J6&lt;5,"1")))))</f>
        <v>3</v>
      </c>
      <c r="M6" s="3">
        <v>1</v>
      </c>
      <c r="N6" s="4" t="s">
        <v>1</v>
      </c>
      <c r="O6" s="5" t="s">
        <v>2</v>
      </c>
      <c r="P6" s="17">
        <f>'input SKDN 2026'!R16</f>
        <v>328</v>
      </c>
      <c r="Q6" s="99" t="str">
        <f t="shared" ref="Q6:Q48" si="2">IF(P6&lt;10,"1",IF(P6=10,"2",IF(P6=20,"2",IF(P6&gt;10,"2",IF(P6&gt;20,"3")))))</f>
        <v>2</v>
      </c>
      <c r="R6" s="3">
        <v>1</v>
      </c>
      <c r="S6" s="4" t="s">
        <v>1</v>
      </c>
      <c r="T6" s="5" t="s">
        <v>2</v>
      </c>
      <c r="U6" s="17">
        <f>'input SKDN 2026'!S16</f>
        <v>10</v>
      </c>
      <c r="Y6" s="21">
        <f t="shared" ref="Y6:Y48" si="3">SUM(E6+K6+Q6)</f>
        <v>8</v>
      </c>
    </row>
    <row r="7" spans="1:25" x14ac:dyDescent="0.3">
      <c r="A7" s="6">
        <v>2</v>
      </c>
      <c r="B7" s="7" t="s">
        <v>1</v>
      </c>
      <c r="C7" s="8" t="s">
        <v>3</v>
      </c>
      <c r="D7" s="17">
        <f>'input SKDN 2026'!P17</f>
        <v>6</v>
      </c>
      <c r="E7" s="102" t="str">
        <f t="shared" si="0"/>
        <v>3</v>
      </c>
      <c r="G7" s="6">
        <v>2</v>
      </c>
      <c r="H7" s="7" t="s">
        <v>1</v>
      </c>
      <c r="I7" s="8" t="s">
        <v>3</v>
      </c>
      <c r="J7" s="17">
        <f>'input SKDN 2026'!Q17</f>
        <v>47</v>
      </c>
      <c r="K7" s="102" t="str">
        <f t="shared" si="1"/>
        <v>3</v>
      </c>
      <c r="M7" s="6">
        <v>2</v>
      </c>
      <c r="N7" s="7" t="s">
        <v>1</v>
      </c>
      <c r="O7" s="8" t="s">
        <v>3</v>
      </c>
      <c r="P7" s="17">
        <f>'input SKDN 2026'!R17</f>
        <v>549</v>
      </c>
      <c r="Q7" s="99" t="str">
        <f t="shared" si="2"/>
        <v>2</v>
      </c>
      <c r="R7" s="6">
        <v>2</v>
      </c>
      <c r="S7" s="7" t="s">
        <v>1</v>
      </c>
      <c r="T7" s="8" t="s">
        <v>3</v>
      </c>
      <c r="U7" s="17">
        <f>'input SKDN 2026'!S17</f>
        <v>22</v>
      </c>
      <c r="Y7" s="19">
        <f t="shared" si="3"/>
        <v>8</v>
      </c>
    </row>
    <row r="8" spans="1:25" x14ac:dyDescent="0.3">
      <c r="A8" s="6">
        <v>3</v>
      </c>
      <c r="B8" s="7" t="s">
        <v>1</v>
      </c>
      <c r="C8" s="8" t="s">
        <v>4</v>
      </c>
      <c r="D8" s="17">
        <f>'input SKDN 2026'!P18</f>
        <v>8</v>
      </c>
      <c r="E8" s="102" t="str">
        <f t="shared" si="0"/>
        <v>3</v>
      </c>
      <c r="G8" s="6">
        <v>3</v>
      </c>
      <c r="H8" s="7" t="s">
        <v>1</v>
      </c>
      <c r="I8" s="8" t="s">
        <v>4</v>
      </c>
      <c r="J8" s="17">
        <f>'input SKDN 2026'!Q18</f>
        <v>21</v>
      </c>
      <c r="K8" s="102" t="str">
        <f t="shared" si="1"/>
        <v>3</v>
      </c>
      <c r="M8" s="6">
        <v>3</v>
      </c>
      <c r="N8" s="7" t="s">
        <v>1</v>
      </c>
      <c r="O8" s="8" t="s">
        <v>4</v>
      </c>
      <c r="P8" s="17">
        <f>'input SKDN 2026'!R18</f>
        <v>551</v>
      </c>
      <c r="Q8" s="99" t="str">
        <f t="shared" si="2"/>
        <v>2</v>
      </c>
      <c r="R8" s="6">
        <v>3</v>
      </c>
      <c r="S8" s="7" t="s">
        <v>1</v>
      </c>
      <c r="T8" s="8" t="s">
        <v>4</v>
      </c>
      <c r="U8" s="17">
        <f>'input SKDN 2026'!S18</f>
        <v>7</v>
      </c>
      <c r="Y8" s="19">
        <f t="shared" si="3"/>
        <v>8</v>
      </c>
    </row>
    <row r="9" spans="1:25" x14ac:dyDescent="0.3">
      <c r="A9" s="6">
        <v>4</v>
      </c>
      <c r="B9" s="7" t="s">
        <v>1</v>
      </c>
      <c r="C9" s="8" t="s">
        <v>5</v>
      </c>
      <c r="D9" s="17">
        <f>'input SKDN 2026'!P19</f>
        <v>16</v>
      </c>
      <c r="E9" s="102" t="str">
        <f t="shared" si="0"/>
        <v>3</v>
      </c>
      <c r="G9" s="6">
        <v>4</v>
      </c>
      <c r="H9" s="7" t="s">
        <v>1</v>
      </c>
      <c r="I9" s="8" t="s">
        <v>5</v>
      </c>
      <c r="J9" s="17">
        <f>'input SKDN 2026'!Q19</f>
        <v>85</v>
      </c>
      <c r="K9" s="102" t="str">
        <f t="shared" si="1"/>
        <v>3</v>
      </c>
      <c r="M9" s="6">
        <v>4</v>
      </c>
      <c r="N9" s="7" t="s">
        <v>1</v>
      </c>
      <c r="O9" s="8" t="s">
        <v>5</v>
      </c>
      <c r="P9" s="17">
        <f>'input SKDN 2026'!R19</f>
        <v>706</v>
      </c>
      <c r="Q9" s="99" t="str">
        <f t="shared" si="2"/>
        <v>2</v>
      </c>
      <c r="R9" s="6">
        <v>4</v>
      </c>
      <c r="S9" s="7" t="s">
        <v>1</v>
      </c>
      <c r="T9" s="8" t="s">
        <v>5</v>
      </c>
      <c r="U9" s="17">
        <f>'input SKDN 2026'!S19</f>
        <v>33</v>
      </c>
      <c r="Y9" s="19">
        <f t="shared" si="3"/>
        <v>8</v>
      </c>
    </row>
    <row r="10" spans="1:25" x14ac:dyDescent="0.3">
      <c r="A10" s="6">
        <v>5</v>
      </c>
      <c r="B10" s="7" t="s">
        <v>1</v>
      </c>
      <c r="C10" s="8" t="s">
        <v>6</v>
      </c>
      <c r="D10" s="17">
        <f>'input SKDN 2026'!P20</f>
        <v>17</v>
      </c>
      <c r="E10" s="102" t="str">
        <f t="shared" si="0"/>
        <v>3</v>
      </c>
      <c r="G10" s="6">
        <v>5</v>
      </c>
      <c r="H10" s="7" t="s">
        <v>1</v>
      </c>
      <c r="I10" s="8" t="s">
        <v>6</v>
      </c>
      <c r="J10" s="17">
        <f>'input SKDN 2026'!Q20</f>
        <v>70</v>
      </c>
      <c r="K10" s="102" t="str">
        <f t="shared" si="1"/>
        <v>3</v>
      </c>
      <c r="M10" s="6">
        <v>5</v>
      </c>
      <c r="N10" s="7" t="s">
        <v>1</v>
      </c>
      <c r="O10" s="8" t="s">
        <v>6</v>
      </c>
      <c r="P10" s="17">
        <f>'input SKDN 2026'!R20</f>
        <v>553</v>
      </c>
      <c r="Q10" s="99" t="str">
        <f t="shared" si="2"/>
        <v>2</v>
      </c>
      <c r="R10" s="6">
        <v>5</v>
      </c>
      <c r="S10" s="7" t="s">
        <v>1</v>
      </c>
      <c r="T10" s="8" t="s">
        <v>6</v>
      </c>
      <c r="U10" s="17">
        <f>'input SKDN 2026'!S20</f>
        <v>12</v>
      </c>
      <c r="Y10" s="19">
        <f t="shared" si="3"/>
        <v>8</v>
      </c>
    </row>
    <row r="11" spans="1:25" x14ac:dyDescent="0.3">
      <c r="A11" s="6">
        <v>6</v>
      </c>
      <c r="B11" s="7" t="s">
        <v>1</v>
      </c>
      <c r="C11" s="10" t="s">
        <v>7</v>
      </c>
      <c r="D11" s="17">
        <f>'input SKDN 2026'!P21</f>
        <v>9</v>
      </c>
      <c r="E11" s="102" t="str">
        <f t="shared" si="0"/>
        <v>3</v>
      </c>
      <c r="G11" s="6">
        <v>6</v>
      </c>
      <c r="H11" s="7" t="s">
        <v>1</v>
      </c>
      <c r="I11" s="8" t="s">
        <v>7</v>
      </c>
      <c r="J11" s="17">
        <f>'input SKDN 2026'!Q21</f>
        <v>40</v>
      </c>
      <c r="K11" s="102" t="str">
        <f t="shared" si="1"/>
        <v>3</v>
      </c>
      <c r="M11" s="6">
        <v>6</v>
      </c>
      <c r="N11" s="7" t="s">
        <v>1</v>
      </c>
      <c r="O11" s="8" t="s">
        <v>7</v>
      </c>
      <c r="P11" s="17">
        <f>'input SKDN 2026'!R21</f>
        <v>458</v>
      </c>
      <c r="Q11" s="99" t="str">
        <f t="shared" si="2"/>
        <v>2</v>
      </c>
      <c r="R11" s="6">
        <v>6</v>
      </c>
      <c r="S11" s="7" t="s">
        <v>1</v>
      </c>
      <c r="T11" s="8" t="s">
        <v>7</v>
      </c>
      <c r="U11" s="17">
        <f>'input SKDN 2026'!S21</f>
        <v>10</v>
      </c>
      <c r="Y11" s="19">
        <f t="shared" si="3"/>
        <v>8</v>
      </c>
    </row>
    <row r="12" spans="1:25" x14ac:dyDescent="0.3">
      <c r="A12" s="6">
        <v>7</v>
      </c>
      <c r="B12" s="7" t="s">
        <v>8</v>
      </c>
      <c r="C12" s="36" t="s">
        <v>9</v>
      </c>
      <c r="D12" s="17">
        <f>'input SKDN 2026'!P22</f>
        <v>7</v>
      </c>
      <c r="E12" s="102" t="str">
        <f t="shared" si="0"/>
        <v>3</v>
      </c>
      <c r="G12" s="6">
        <v>7</v>
      </c>
      <c r="H12" s="7" t="s">
        <v>8</v>
      </c>
      <c r="I12" s="8" t="s">
        <v>9</v>
      </c>
      <c r="J12" s="17">
        <f>'input SKDN 2026'!Q22</f>
        <v>31</v>
      </c>
      <c r="K12" s="102" t="str">
        <f t="shared" si="1"/>
        <v>3</v>
      </c>
      <c r="M12" s="6">
        <v>7</v>
      </c>
      <c r="N12" s="7" t="s">
        <v>8</v>
      </c>
      <c r="O12" s="8" t="s">
        <v>9</v>
      </c>
      <c r="P12" s="17">
        <f>'input SKDN 2026'!R22</f>
        <v>596</v>
      </c>
      <c r="Q12" s="99" t="str">
        <f t="shared" si="2"/>
        <v>2</v>
      </c>
      <c r="R12" s="6">
        <v>7</v>
      </c>
      <c r="S12" s="7" t="s">
        <v>8</v>
      </c>
      <c r="T12" s="8" t="s">
        <v>9</v>
      </c>
      <c r="U12" s="17">
        <f>'input SKDN 2026'!S22</f>
        <v>29</v>
      </c>
      <c r="Y12" s="19">
        <f t="shared" si="3"/>
        <v>8</v>
      </c>
    </row>
    <row r="13" spans="1:25" x14ac:dyDescent="0.3">
      <c r="A13" s="6">
        <v>8</v>
      </c>
      <c r="B13" s="9" t="s">
        <v>8</v>
      </c>
      <c r="C13" s="36" t="s">
        <v>10</v>
      </c>
      <c r="D13" s="17">
        <f>'input SKDN 2026'!P23</f>
        <v>10</v>
      </c>
      <c r="E13" s="102" t="str">
        <f t="shared" si="0"/>
        <v>3</v>
      </c>
      <c r="G13" s="6">
        <v>8</v>
      </c>
      <c r="H13" s="9" t="s">
        <v>8</v>
      </c>
      <c r="I13" s="10" t="s">
        <v>10</v>
      </c>
      <c r="J13" s="17">
        <f>'input SKDN 2026'!Q23</f>
        <v>69</v>
      </c>
      <c r="K13" s="102" t="str">
        <f t="shared" si="1"/>
        <v>3</v>
      </c>
      <c r="M13" s="6">
        <v>8</v>
      </c>
      <c r="N13" s="9" t="s">
        <v>8</v>
      </c>
      <c r="O13" s="10" t="s">
        <v>10</v>
      </c>
      <c r="P13" s="17">
        <f>'input SKDN 2026'!R23</f>
        <v>660</v>
      </c>
      <c r="Q13" s="99" t="str">
        <f t="shared" si="2"/>
        <v>2</v>
      </c>
      <c r="R13" s="6">
        <v>8</v>
      </c>
      <c r="S13" s="9" t="s">
        <v>8</v>
      </c>
      <c r="T13" s="10" t="s">
        <v>10</v>
      </c>
      <c r="U13" s="17">
        <f>'input SKDN 2026'!S23</f>
        <v>45</v>
      </c>
      <c r="Y13" s="19">
        <f t="shared" si="3"/>
        <v>8</v>
      </c>
    </row>
    <row r="14" spans="1:25" x14ac:dyDescent="0.3">
      <c r="A14" s="6">
        <v>9</v>
      </c>
      <c r="B14" s="9" t="s">
        <v>8</v>
      </c>
      <c r="C14" s="36" t="s">
        <v>11</v>
      </c>
      <c r="D14" s="17">
        <f>'input SKDN 2026'!P24</f>
        <v>4</v>
      </c>
      <c r="E14" s="102" t="str">
        <f t="shared" si="0"/>
        <v>3</v>
      </c>
      <c r="G14" s="6">
        <v>9</v>
      </c>
      <c r="H14" s="9" t="s">
        <v>8</v>
      </c>
      <c r="I14" s="10" t="s">
        <v>11</v>
      </c>
      <c r="J14" s="17">
        <f>'input SKDN 2026'!Q24</f>
        <v>19</v>
      </c>
      <c r="K14" s="102" t="str">
        <f t="shared" si="1"/>
        <v>3</v>
      </c>
      <c r="M14" s="6">
        <v>9</v>
      </c>
      <c r="N14" s="9" t="s">
        <v>8</v>
      </c>
      <c r="O14" s="10" t="s">
        <v>11</v>
      </c>
      <c r="P14" s="17">
        <f>'input SKDN 2026'!R24</f>
        <v>672</v>
      </c>
      <c r="Q14" s="99" t="str">
        <f t="shared" si="2"/>
        <v>2</v>
      </c>
      <c r="R14" s="6">
        <v>9</v>
      </c>
      <c r="S14" s="9" t="s">
        <v>8</v>
      </c>
      <c r="T14" s="10" t="s">
        <v>11</v>
      </c>
      <c r="U14" s="17">
        <f>'input SKDN 2026'!S24</f>
        <v>56</v>
      </c>
      <c r="Y14" s="19">
        <f t="shared" si="3"/>
        <v>8</v>
      </c>
    </row>
    <row r="15" spans="1:25" x14ac:dyDescent="0.3">
      <c r="A15" s="6">
        <v>10</v>
      </c>
      <c r="B15" s="9" t="s">
        <v>8</v>
      </c>
      <c r="C15" s="36" t="s">
        <v>12</v>
      </c>
      <c r="D15" s="17">
        <f>'input SKDN 2026'!P25</f>
        <v>5</v>
      </c>
      <c r="E15" s="102" t="str">
        <f t="shared" si="0"/>
        <v>3</v>
      </c>
      <c r="G15" s="6">
        <v>10</v>
      </c>
      <c r="H15" s="9" t="s">
        <v>8</v>
      </c>
      <c r="I15" s="10" t="s">
        <v>12</v>
      </c>
      <c r="J15" s="17">
        <f>'input SKDN 2026'!Q25</f>
        <v>22</v>
      </c>
      <c r="K15" s="102" t="str">
        <f t="shared" si="1"/>
        <v>3</v>
      </c>
      <c r="M15" s="6">
        <v>10</v>
      </c>
      <c r="N15" s="9" t="s">
        <v>8</v>
      </c>
      <c r="O15" s="10" t="s">
        <v>12</v>
      </c>
      <c r="P15" s="17">
        <f>'input SKDN 2026'!R25</f>
        <v>847</v>
      </c>
      <c r="Q15" s="99" t="str">
        <f t="shared" si="2"/>
        <v>2</v>
      </c>
      <c r="R15" s="6">
        <v>10</v>
      </c>
      <c r="S15" s="9" t="s">
        <v>8</v>
      </c>
      <c r="T15" s="10" t="s">
        <v>12</v>
      </c>
      <c r="U15" s="17">
        <f>'input SKDN 2026'!S25</f>
        <v>20</v>
      </c>
      <c r="Y15" s="19">
        <f t="shared" si="3"/>
        <v>8</v>
      </c>
    </row>
    <row r="16" spans="1:25" x14ac:dyDescent="0.3">
      <c r="A16" s="6">
        <v>11</v>
      </c>
      <c r="B16" s="9" t="s">
        <v>8</v>
      </c>
      <c r="C16" s="36" t="s">
        <v>57</v>
      </c>
      <c r="D16" s="17">
        <f>'input SKDN 2026'!P26</f>
        <v>2</v>
      </c>
      <c r="E16" s="102" t="str">
        <f t="shared" si="0"/>
        <v>3</v>
      </c>
      <c r="G16" s="6">
        <v>11</v>
      </c>
      <c r="H16" s="9" t="s">
        <v>8</v>
      </c>
      <c r="I16" s="10" t="s">
        <v>13</v>
      </c>
      <c r="J16" s="17">
        <f>'input SKDN 2026'!Q26</f>
        <v>21</v>
      </c>
      <c r="K16" s="102" t="str">
        <f t="shared" si="1"/>
        <v>3</v>
      </c>
      <c r="M16" s="6">
        <v>11</v>
      </c>
      <c r="N16" s="9" t="s">
        <v>8</v>
      </c>
      <c r="O16" s="10" t="s">
        <v>13</v>
      </c>
      <c r="P16" s="17">
        <f>'input SKDN 2026'!R26</f>
        <v>701</v>
      </c>
      <c r="Q16" s="99" t="str">
        <f t="shared" si="2"/>
        <v>2</v>
      </c>
      <c r="R16" s="6">
        <v>11</v>
      </c>
      <c r="S16" s="9" t="s">
        <v>8</v>
      </c>
      <c r="T16" s="10" t="s">
        <v>13</v>
      </c>
      <c r="U16" s="17">
        <f>'input SKDN 2026'!S26</f>
        <v>23</v>
      </c>
      <c r="Y16" s="19">
        <f t="shared" si="3"/>
        <v>8</v>
      </c>
    </row>
    <row r="17" spans="1:25" x14ac:dyDescent="0.3">
      <c r="A17" s="6">
        <v>12</v>
      </c>
      <c r="B17" s="9" t="s">
        <v>8</v>
      </c>
      <c r="C17" s="36" t="s">
        <v>14</v>
      </c>
      <c r="D17" s="17">
        <f>'input SKDN 2026'!P27</f>
        <v>6</v>
      </c>
      <c r="E17" s="102" t="str">
        <f t="shared" si="0"/>
        <v>3</v>
      </c>
      <c r="G17" s="6">
        <v>12</v>
      </c>
      <c r="H17" s="9" t="s">
        <v>8</v>
      </c>
      <c r="I17" s="10" t="s">
        <v>14</v>
      </c>
      <c r="J17" s="17">
        <f>'input SKDN 2026'!Q27</f>
        <v>24</v>
      </c>
      <c r="K17" s="102" t="str">
        <f t="shared" si="1"/>
        <v>3</v>
      </c>
      <c r="M17" s="6">
        <v>12</v>
      </c>
      <c r="N17" s="9" t="s">
        <v>8</v>
      </c>
      <c r="O17" s="10" t="s">
        <v>14</v>
      </c>
      <c r="P17" s="17">
        <f>'input SKDN 2026'!R27</f>
        <v>506</v>
      </c>
      <c r="Q17" s="99" t="str">
        <f t="shared" si="2"/>
        <v>2</v>
      </c>
      <c r="R17" s="6">
        <v>12</v>
      </c>
      <c r="S17" s="9" t="s">
        <v>8</v>
      </c>
      <c r="T17" s="10" t="s">
        <v>14</v>
      </c>
      <c r="U17" s="17">
        <f>'input SKDN 2026'!S27</f>
        <v>45</v>
      </c>
      <c r="Y17" s="19">
        <f t="shared" si="3"/>
        <v>8</v>
      </c>
    </row>
    <row r="18" spans="1:25" x14ac:dyDescent="0.3">
      <c r="A18" s="6">
        <v>13</v>
      </c>
      <c r="B18" s="9" t="s">
        <v>8</v>
      </c>
      <c r="C18" s="36" t="s">
        <v>15</v>
      </c>
      <c r="D18" s="17">
        <f>'input SKDN 2026'!P28</f>
        <v>4</v>
      </c>
      <c r="E18" s="102" t="str">
        <f t="shared" si="0"/>
        <v>3</v>
      </c>
      <c r="G18" s="6">
        <v>13</v>
      </c>
      <c r="H18" s="9" t="s">
        <v>8</v>
      </c>
      <c r="I18" s="10" t="s">
        <v>15</v>
      </c>
      <c r="J18" s="17">
        <f>'input SKDN 2026'!Q28</f>
        <v>17</v>
      </c>
      <c r="K18" s="102" t="str">
        <f t="shared" si="1"/>
        <v>3</v>
      </c>
      <c r="M18" s="6">
        <v>13</v>
      </c>
      <c r="N18" s="9" t="s">
        <v>8</v>
      </c>
      <c r="O18" s="10" t="s">
        <v>15</v>
      </c>
      <c r="P18" s="17">
        <f>'input SKDN 2026'!R28</f>
        <v>271</v>
      </c>
      <c r="Q18" s="99" t="str">
        <f t="shared" si="2"/>
        <v>2</v>
      </c>
      <c r="R18" s="6">
        <v>13</v>
      </c>
      <c r="S18" s="9" t="s">
        <v>8</v>
      </c>
      <c r="T18" s="10" t="s">
        <v>15</v>
      </c>
      <c r="U18" s="17">
        <f>'input SKDN 2026'!S28</f>
        <v>16</v>
      </c>
      <c r="Y18" s="19">
        <f t="shared" si="3"/>
        <v>8</v>
      </c>
    </row>
    <row r="19" spans="1:25" x14ac:dyDescent="0.3">
      <c r="A19" s="6">
        <v>14</v>
      </c>
      <c r="B19" s="9" t="s">
        <v>16</v>
      </c>
      <c r="C19" s="35" t="s">
        <v>17</v>
      </c>
      <c r="D19" s="17">
        <f>'input SKDN 2026'!P29</f>
        <v>14</v>
      </c>
      <c r="E19" s="102" t="str">
        <f t="shared" si="0"/>
        <v>3</v>
      </c>
      <c r="G19" s="6">
        <v>14</v>
      </c>
      <c r="H19" s="9" t="s">
        <v>16</v>
      </c>
      <c r="I19" s="10" t="s">
        <v>17</v>
      </c>
      <c r="J19" s="17">
        <f>'input SKDN 2026'!Q29</f>
        <v>63</v>
      </c>
      <c r="K19" s="102" t="str">
        <f t="shared" si="1"/>
        <v>3</v>
      </c>
      <c r="M19" s="6">
        <v>14</v>
      </c>
      <c r="N19" s="9" t="s">
        <v>16</v>
      </c>
      <c r="O19" s="10" t="s">
        <v>17</v>
      </c>
      <c r="P19" s="17">
        <f>'input SKDN 2026'!R29</f>
        <v>677</v>
      </c>
      <c r="Q19" s="99" t="str">
        <f t="shared" si="2"/>
        <v>2</v>
      </c>
      <c r="R19" s="6">
        <v>14</v>
      </c>
      <c r="S19" s="9" t="s">
        <v>16</v>
      </c>
      <c r="T19" s="10" t="s">
        <v>17</v>
      </c>
      <c r="U19" s="17">
        <f>'input SKDN 2026'!S29</f>
        <v>37</v>
      </c>
      <c r="Y19" s="19">
        <f t="shared" si="3"/>
        <v>8</v>
      </c>
    </row>
    <row r="20" spans="1:25" x14ac:dyDescent="0.3">
      <c r="A20" s="6">
        <v>15</v>
      </c>
      <c r="B20" s="9" t="s">
        <v>16</v>
      </c>
      <c r="C20" s="10" t="s">
        <v>18</v>
      </c>
      <c r="D20" s="17">
        <f>'input SKDN 2026'!P30</f>
        <v>16</v>
      </c>
      <c r="E20" s="102" t="str">
        <f t="shared" si="0"/>
        <v>3</v>
      </c>
      <c r="G20" s="6">
        <v>15</v>
      </c>
      <c r="H20" s="9" t="s">
        <v>16</v>
      </c>
      <c r="I20" s="10" t="s">
        <v>18</v>
      </c>
      <c r="J20" s="17">
        <f>'input SKDN 2026'!Q30</f>
        <v>57</v>
      </c>
      <c r="K20" s="102" t="str">
        <f t="shared" si="1"/>
        <v>3</v>
      </c>
      <c r="M20" s="6">
        <v>15</v>
      </c>
      <c r="N20" s="9" t="s">
        <v>16</v>
      </c>
      <c r="O20" s="10" t="s">
        <v>18</v>
      </c>
      <c r="P20" s="17">
        <f>'input SKDN 2026'!R30</f>
        <v>668</v>
      </c>
      <c r="Q20" s="99" t="str">
        <f t="shared" si="2"/>
        <v>2</v>
      </c>
      <c r="R20" s="6">
        <v>15</v>
      </c>
      <c r="S20" s="9" t="s">
        <v>16</v>
      </c>
      <c r="T20" s="10" t="s">
        <v>18</v>
      </c>
      <c r="U20" s="17">
        <f>'input SKDN 2026'!S30</f>
        <v>29</v>
      </c>
      <c r="Y20" s="19">
        <f t="shared" si="3"/>
        <v>8</v>
      </c>
    </row>
    <row r="21" spans="1:25" x14ac:dyDescent="0.3">
      <c r="A21" s="6">
        <v>16</v>
      </c>
      <c r="B21" s="9" t="s">
        <v>16</v>
      </c>
      <c r="C21" s="10" t="s">
        <v>19</v>
      </c>
      <c r="D21" s="17">
        <f>'input SKDN 2026'!P31</f>
        <v>1</v>
      </c>
      <c r="E21" s="102" t="str">
        <f t="shared" si="0"/>
        <v>3</v>
      </c>
      <c r="G21" s="6">
        <v>16</v>
      </c>
      <c r="H21" s="9" t="s">
        <v>16</v>
      </c>
      <c r="I21" s="10" t="s">
        <v>19</v>
      </c>
      <c r="J21" s="17">
        <f>'input SKDN 2026'!Q31</f>
        <v>44</v>
      </c>
      <c r="K21" s="102" t="str">
        <f t="shared" si="1"/>
        <v>3</v>
      </c>
      <c r="M21" s="6">
        <v>16</v>
      </c>
      <c r="N21" s="9" t="s">
        <v>16</v>
      </c>
      <c r="O21" s="10" t="s">
        <v>19</v>
      </c>
      <c r="P21" s="17">
        <f>'input SKDN 2026'!R31</f>
        <v>711</v>
      </c>
      <c r="Q21" s="99" t="str">
        <f t="shared" si="2"/>
        <v>2</v>
      </c>
      <c r="R21" s="6">
        <v>16</v>
      </c>
      <c r="S21" s="9" t="s">
        <v>16</v>
      </c>
      <c r="T21" s="10" t="s">
        <v>19</v>
      </c>
      <c r="U21" s="17">
        <f>'input SKDN 2026'!S31</f>
        <v>15</v>
      </c>
      <c r="Y21" s="19">
        <f t="shared" si="3"/>
        <v>8</v>
      </c>
    </row>
    <row r="22" spans="1:25" x14ac:dyDescent="0.3">
      <c r="A22" s="6">
        <v>17</v>
      </c>
      <c r="B22" s="9" t="s">
        <v>16</v>
      </c>
      <c r="C22" s="10" t="s">
        <v>20</v>
      </c>
      <c r="D22" s="17">
        <f>'input SKDN 2026'!P32</f>
        <v>4</v>
      </c>
      <c r="E22" s="102" t="str">
        <f t="shared" si="0"/>
        <v>3</v>
      </c>
      <c r="G22" s="6">
        <v>17</v>
      </c>
      <c r="H22" s="9" t="s">
        <v>16</v>
      </c>
      <c r="I22" s="10" t="s">
        <v>20</v>
      </c>
      <c r="J22" s="17">
        <f>'input SKDN 2026'!Q32</f>
        <v>34</v>
      </c>
      <c r="K22" s="102" t="str">
        <f t="shared" si="1"/>
        <v>3</v>
      </c>
      <c r="M22" s="6">
        <v>17</v>
      </c>
      <c r="N22" s="9" t="s">
        <v>16</v>
      </c>
      <c r="O22" s="10" t="s">
        <v>20</v>
      </c>
      <c r="P22" s="17">
        <f>'input SKDN 2026'!R32</f>
        <v>388</v>
      </c>
      <c r="Q22" s="99" t="str">
        <f t="shared" si="2"/>
        <v>2</v>
      </c>
      <c r="R22" s="6">
        <v>17</v>
      </c>
      <c r="S22" s="9" t="s">
        <v>16</v>
      </c>
      <c r="T22" s="10" t="s">
        <v>20</v>
      </c>
      <c r="U22" s="17">
        <f>'input SKDN 2026'!S32</f>
        <v>69</v>
      </c>
      <c r="Y22" s="19">
        <f t="shared" si="3"/>
        <v>8</v>
      </c>
    </row>
    <row r="23" spans="1:25" x14ac:dyDescent="0.3">
      <c r="A23" s="6">
        <v>18</v>
      </c>
      <c r="B23" s="9" t="s">
        <v>21</v>
      </c>
      <c r="C23" s="10" t="s">
        <v>22</v>
      </c>
      <c r="D23" s="17">
        <f>'input SKDN 2026'!P33</f>
        <v>1</v>
      </c>
      <c r="E23" s="102" t="str">
        <f t="shared" si="0"/>
        <v>3</v>
      </c>
      <c r="G23" s="6">
        <v>18</v>
      </c>
      <c r="H23" s="9" t="s">
        <v>21</v>
      </c>
      <c r="I23" s="10" t="s">
        <v>22</v>
      </c>
      <c r="J23" s="17">
        <f>'input SKDN 2026'!Q33</f>
        <v>9</v>
      </c>
      <c r="K23" s="102" t="str">
        <f t="shared" si="1"/>
        <v>2</v>
      </c>
      <c r="M23" s="6">
        <v>18</v>
      </c>
      <c r="N23" s="9" t="s">
        <v>21</v>
      </c>
      <c r="O23" s="10" t="s">
        <v>22</v>
      </c>
      <c r="P23" s="17">
        <f>'input SKDN 2026'!R33</f>
        <v>121</v>
      </c>
      <c r="Q23" s="99" t="str">
        <f t="shared" si="2"/>
        <v>2</v>
      </c>
      <c r="R23" s="6">
        <v>18</v>
      </c>
      <c r="S23" s="9" t="s">
        <v>21</v>
      </c>
      <c r="T23" s="10" t="s">
        <v>22</v>
      </c>
      <c r="U23" s="17">
        <f>'input SKDN 2026'!S33</f>
        <v>14</v>
      </c>
      <c r="Y23" s="19">
        <f t="shared" si="3"/>
        <v>7</v>
      </c>
    </row>
    <row r="24" spans="1:25" x14ac:dyDescent="0.3">
      <c r="A24" s="6">
        <v>19</v>
      </c>
      <c r="B24" s="9" t="s">
        <v>21</v>
      </c>
      <c r="C24" s="10" t="s">
        <v>23</v>
      </c>
      <c r="D24" s="17">
        <f>'input SKDN 2026'!P34</f>
        <v>9</v>
      </c>
      <c r="E24" s="102" t="str">
        <f t="shared" si="0"/>
        <v>3</v>
      </c>
      <c r="G24" s="6">
        <v>19</v>
      </c>
      <c r="H24" s="9" t="s">
        <v>21</v>
      </c>
      <c r="I24" s="10" t="s">
        <v>23</v>
      </c>
      <c r="J24" s="17">
        <f>'input SKDN 2026'!Q34</f>
        <v>26</v>
      </c>
      <c r="K24" s="102" t="str">
        <f t="shared" si="1"/>
        <v>3</v>
      </c>
      <c r="M24" s="6">
        <v>19</v>
      </c>
      <c r="N24" s="9" t="s">
        <v>21</v>
      </c>
      <c r="O24" s="10" t="s">
        <v>23</v>
      </c>
      <c r="P24" s="17">
        <f>'input SKDN 2026'!R34</f>
        <v>170</v>
      </c>
      <c r="Q24" s="99" t="str">
        <f t="shared" si="2"/>
        <v>2</v>
      </c>
      <c r="R24" s="6">
        <v>19</v>
      </c>
      <c r="S24" s="9" t="s">
        <v>21</v>
      </c>
      <c r="T24" s="10" t="s">
        <v>23</v>
      </c>
      <c r="U24" s="17">
        <f>'input SKDN 2026'!S34</f>
        <v>9</v>
      </c>
      <c r="Y24" s="19">
        <f t="shared" si="3"/>
        <v>8</v>
      </c>
    </row>
    <row r="25" spans="1:25" x14ac:dyDescent="0.3">
      <c r="A25" s="6">
        <v>20</v>
      </c>
      <c r="B25" s="9" t="s">
        <v>21</v>
      </c>
      <c r="C25" s="10" t="s">
        <v>24</v>
      </c>
      <c r="D25" s="17">
        <f>'input SKDN 2026'!P35</f>
        <v>8</v>
      </c>
      <c r="E25" s="102" t="str">
        <f t="shared" si="0"/>
        <v>3</v>
      </c>
      <c r="G25" s="6">
        <v>20</v>
      </c>
      <c r="H25" s="9" t="s">
        <v>21</v>
      </c>
      <c r="I25" s="10" t="s">
        <v>24</v>
      </c>
      <c r="J25" s="17">
        <f>'input SKDN 2026'!Q35</f>
        <v>9</v>
      </c>
      <c r="K25" s="102" t="str">
        <f t="shared" si="1"/>
        <v>2</v>
      </c>
      <c r="M25" s="6">
        <v>20</v>
      </c>
      <c r="N25" s="9" t="s">
        <v>21</v>
      </c>
      <c r="O25" s="10" t="s">
        <v>24</v>
      </c>
      <c r="P25" s="17">
        <f>'input SKDN 2026'!R35</f>
        <v>178</v>
      </c>
      <c r="Q25" s="99" t="str">
        <f t="shared" si="2"/>
        <v>2</v>
      </c>
      <c r="R25" s="6">
        <v>20</v>
      </c>
      <c r="S25" s="9" t="s">
        <v>21</v>
      </c>
      <c r="T25" s="10" t="s">
        <v>24</v>
      </c>
      <c r="U25" s="17">
        <f>'input SKDN 2026'!S35</f>
        <v>8</v>
      </c>
      <c r="Y25" s="19">
        <f t="shared" si="3"/>
        <v>7</v>
      </c>
    </row>
    <row r="26" spans="1:25" x14ac:dyDescent="0.3">
      <c r="A26" s="6">
        <v>21</v>
      </c>
      <c r="B26" s="9" t="s">
        <v>21</v>
      </c>
      <c r="C26" s="10" t="s">
        <v>25</v>
      </c>
      <c r="D26" s="17">
        <f>'input SKDN 2026'!P36</f>
        <v>2</v>
      </c>
      <c r="E26" s="102" t="str">
        <f t="shared" si="0"/>
        <v>3</v>
      </c>
      <c r="G26" s="6">
        <v>21</v>
      </c>
      <c r="H26" s="9" t="s">
        <v>21</v>
      </c>
      <c r="I26" s="10" t="s">
        <v>25</v>
      </c>
      <c r="J26" s="17">
        <f>'input SKDN 2026'!Q36</f>
        <v>17</v>
      </c>
      <c r="K26" s="102" t="str">
        <f t="shared" si="1"/>
        <v>3</v>
      </c>
      <c r="M26" s="6">
        <v>21</v>
      </c>
      <c r="N26" s="9" t="s">
        <v>21</v>
      </c>
      <c r="O26" s="10" t="s">
        <v>25</v>
      </c>
      <c r="P26" s="17">
        <f>'input SKDN 2026'!R36</f>
        <v>285</v>
      </c>
      <c r="Q26" s="99" t="str">
        <f t="shared" si="2"/>
        <v>2</v>
      </c>
      <c r="R26" s="6">
        <v>21</v>
      </c>
      <c r="S26" s="9" t="s">
        <v>21</v>
      </c>
      <c r="T26" s="10" t="s">
        <v>25</v>
      </c>
      <c r="U26" s="17">
        <f>'input SKDN 2026'!S36</f>
        <v>9</v>
      </c>
      <c r="Y26" s="19">
        <f t="shared" si="3"/>
        <v>8</v>
      </c>
    </row>
    <row r="27" spans="1:25" x14ac:dyDescent="0.3">
      <c r="A27" s="6">
        <v>22</v>
      </c>
      <c r="B27" s="9" t="s">
        <v>21</v>
      </c>
      <c r="C27" s="10" t="s">
        <v>26</v>
      </c>
      <c r="D27" s="17">
        <f>'input SKDN 2026'!P37</f>
        <v>7</v>
      </c>
      <c r="E27" s="102" t="str">
        <f t="shared" si="0"/>
        <v>3</v>
      </c>
      <c r="G27" s="6">
        <v>22</v>
      </c>
      <c r="H27" s="9" t="s">
        <v>21</v>
      </c>
      <c r="I27" s="10" t="s">
        <v>26</v>
      </c>
      <c r="J27" s="17">
        <f>'input SKDN 2026'!Q37</f>
        <v>30</v>
      </c>
      <c r="K27" s="102" t="str">
        <f t="shared" si="1"/>
        <v>3</v>
      </c>
      <c r="M27" s="6">
        <v>22</v>
      </c>
      <c r="N27" s="9" t="s">
        <v>21</v>
      </c>
      <c r="O27" s="10" t="s">
        <v>26</v>
      </c>
      <c r="P27" s="17">
        <f>'input SKDN 2026'!R37</f>
        <v>544</v>
      </c>
      <c r="Q27" s="99" t="str">
        <f t="shared" si="2"/>
        <v>2</v>
      </c>
      <c r="R27" s="6">
        <v>22</v>
      </c>
      <c r="S27" s="9" t="s">
        <v>21</v>
      </c>
      <c r="T27" s="10" t="s">
        <v>26</v>
      </c>
      <c r="U27" s="17">
        <f>'input SKDN 2026'!S37</f>
        <v>47</v>
      </c>
      <c r="Y27" s="19">
        <f t="shared" si="3"/>
        <v>8</v>
      </c>
    </row>
    <row r="28" spans="1:25" x14ac:dyDescent="0.3">
      <c r="A28" s="6">
        <v>23</v>
      </c>
      <c r="B28" s="9" t="s">
        <v>21</v>
      </c>
      <c r="C28" s="10" t="s">
        <v>27</v>
      </c>
      <c r="D28" s="17">
        <f>'input SKDN 2026'!P38</f>
        <v>2</v>
      </c>
      <c r="E28" s="102" t="str">
        <f t="shared" si="0"/>
        <v>3</v>
      </c>
      <c r="G28" s="6">
        <v>23</v>
      </c>
      <c r="H28" s="9" t="s">
        <v>21</v>
      </c>
      <c r="I28" s="10" t="s">
        <v>27</v>
      </c>
      <c r="J28" s="17">
        <f>'input SKDN 2026'!Q38</f>
        <v>3</v>
      </c>
      <c r="K28" s="102" t="str">
        <f t="shared" si="1"/>
        <v>1</v>
      </c>
      <c r="M28" s="6">
        <v>23</v>
      </c>
      <c r="N28" s="9" t="s">
        <v>21</v>
      </c>
      <c r="O28" s="10" t="s">
        <v>27</v>
      </c>
      <c r="P28" s="17">
        <f>'input SKDN 2026'!R38</f>
        <v>44</v>
      </c>
      <c r="Q28" s="99" t="str">
        <f t="shared" si="2"/>
        <v>2</v>
      </c>
      <c r="R28" s="6">
        <v>23</v>
      </c>
      <c r="S28" s="9" t="s">
        <v>21</v>
      </c>
      <c r="T28" s="10" t="s">
        <v>27</v>
      </c>
      <c r="U28" s="17">
        <f>'input SKDN 2026'!S38</f>
        <v>4</v>
      </c>
      <c r="Y28" s="19">
        <f t="shared" si="3"/>
        <v>6</v>
      </c>
    </row>
    <row r="29" spans="1:25" x14ac:dyDescent="0.3">
      <c r="A29" s="6">
        <v>24</v>
      </c>
      <c r="B29" s="9" t="s">
        <v>28</v>
      </c>
      <c r="C29" s="36" t="s">
        <v>29</v>
      </c>
      <c r="D29" s="17">
        <f>'input SKDN 2026'!P39</f>
        <v>6</v>
      </c>
      <c r="E29" s="102" t="str">
        <f t="shared" si="0"/>
        <v>3</v>
      </c>
      <c r="G29" s="6">
        <v>24</v>
      </c>
      <c r="H29" s="9" t="s">
        <v>28</v>
      </c>
      <c r="I29" s="10" t="s">
        <v>29</v>
      </c>
      <c r="J29" s="17">
        <f>'input SKDN 2026'!Q39</f>
        <v>25</v>
      </c>
      <c r="K29" s="102" t="str">
        <f t="shared" si="1"/>
        <v>3</v>
      </c>
      <c r="M29" s="6">
        <v>24</v>
      </c>
      <c r="N29" s="9" t="s">
        <v>28</v>
      </c>
      <c r="O29" s="10" t="s">
        <v>29</v>
      </c>
      <c r="P29" s="17">
        <f>'input SKDN 2026'!R39</f>
        <v>390</v>
      </c>
      <c r="Q29" s="99" t="str">
        <f t="shared" si="2"/>
        <v>2</v>
      </c>
      <c r="R29" s="6">
        <v>24</v>
      </c>
      <c r="S29" s="9" t="s">
        <v>28</v>
      </c>
      <c r="T29" s="10" t="s">
        <v>29</v>
      </c>
      <c r="U29" s="17">
        <f>'input SKDN 2026'!S39</f>
        <v>31</v>
      </c>
      <c r="Y29" s="19">
        <f t="shared" si="3"/>
        <v>8</v>
      </c>
    </row>
    <row r="30" spans="1:25" x14ac:dyDescent="0.3">
      <c r="A30" s="6">
        <v>25</v>
      </c>
      <c r="B30" s="9" t="s">
        <v>28</v>
      </c>
      <c r="C30" s="36" t="s">
        <v>30</v>
      </c>
      <c r="D30" s="17">
        <f>'input SKDN 2026'!P40</f>
        <v>11</v>
      </c>
      <c r="E30" s="102" t="str">
        <f t="shared" si="0"/>
        <v>3</v>
      </c>
      <c r="G30" s="6">
        <v>25</v>
      </c>
      <c r="H30" s="9" t="s">
        <v>28</v>
      </c>
      <c r="I30" s="10" t="s">
        <v>30</v>
      </c>
      <c r="J30" s="17">
        <f>'input SKDN 2026'!Q40</f>
        <v>46</v>
      </c>
      <c r="K30" s="102" t="str">
        <f t="shared" si="1"/>
        <v>3</v>
      </c>
      <c r="M30" s="6">
        <v>25</v>
      </c>
      <c r="N30" s="9" t="s">
        <v>28</v>
      </c>
      <c r="O30" s="10" t="s">
        <v>30</v>
      </c>
      <c r="P30" s="17">
        <f>'input SKDN 2026'!R40</f>
        <v>244</v>
      </c>
      <c r="Q30" s="99" t="str">
        <f t="shared" si="2"/>
        <v>2</v>
      </c>
      <c r="R30" s="6">
        <v>25</v>
      </c>
      <c r="S30" s="9" t="s">
        <v>28</v>
      </c>
      <c r="T30" s="10" t="s">
        <v>30</v>
      </c>
      <c r="U30" s="17">
        <f>'input SKDN 2026'!S40</f>
        <v>12</v>
      </c>
      <c r="Y30" s="19">
        <f t="shared" si="3"/>
        <v>8</v>
      </c>
    </row>
    <row r="31" spans="1:25" x14ac:dyDescent="0.3">
      <c r="A31" s="6">
        <v>26</v>
      </c>
      <c r="B31" s="9" t="s">
        <v>28</v>
      </c>
      <c r="C31" s="36" t="s">
        <v>31</v>
      </c>
      <c r="D31" s="17">
        <f>'input SKDN 2026'!P41</f>
        <v>10</v>
      </c>
      <c r="E31" s="102" t="str">
        <f t="shared" si="0"/>
        <v>3</v>
      </c>
      <c r="G31" s="6">
        <v>26</v>
      </c>
      <c r="H31" s="9" t="s">
        <v>28</v>
      </c>
      <c r="I31" s="10" t="s">
        <v>31</v>
      </c>
      <c r="J31" s="17">
        <f>'input SKDN 2026'!Q41</f>
        <v>30</v>
      </c>
      <c r="K31" s="102" t="str">
        <f t="shared" si="1"/>
        <v>3</v>
      </c>
      <c r="M31" s="6">
        <v>26</v>
      </c>
      <c r="N31" s="9" t="s">
        <v>28</v>
      </c>
      <c r="O31" s="10" t="s">
        <v>31</v>
      </c>
      <c r="P31" s="17">
        <f>'input SKDN 2026'!R41</f>
        <v>466</v>
      </c>
      <c r="Q31" s="99" t="str">
        <f t="shared" si="2"/>
        <v>2</v>
      </c>
      <c r="R31" s="6">
        <v>26</v>
      </c>
      <c r="S31" s="9" t="s">
        <v>28</v>
      </c>
      <c r="T31" s="10" t="s">
        <v>31</v>
      </c>
      <c r="U31" s="17">
        <f>'input SKDN 2026'!S41</f>
        <v>26</v>
      </c>
      <c r="Y31" s="19">
        <f t="shared" si="3"/>
        <v>8</v>
      </c>
    </row>
    <row r="32" spans="1:25" x14ac:dyDescent="0.3">
      <c r="A32" s="6">
        <v>27</v>
      </c>
      <c r="B32" s="9" t="s">
        <v>28</v>
      </c>
      <c r="C32" s="36" t="s">
        <v>32</v>
      </c>
      <c r="D32" s="17">
        <f>'input SKDN 2026'!P42</f>
        <v>14</v>
      </c>
      <c r="E32" s="102" t="str">
        <f t="shared" si="0"/>
        <v>3</v>
      </c>
      <c r="G32" s="6">
        <v>27</v>
      </c>
      <c r="H32" s="9" t="s">
        <v>28</v>
      </c>
      <c r="I32" s="10" t="s">
        <v>32</v>
      </c>
      <c r="J32" s="17">
        <f>'input SKDN 2026'!Q42</f>
        <v>64</v>
      </c>
      <c r="K32" s="102" t="str">
        <f t="shared" si="1"/>
        <v>3</v>
      </c>
      <c r="M32" s="6">
        <v>27</v>
      </c>
      <c r="N32" s="9" t="s">
        <v>28</v>
      </c>
      <c r="O32" s="10" t="s">
        <v>32</v>
      </c>
      <c r="P32" s="17">
        <f>'input SKDN 2026'!R42</f>
        <v>729</v>
      </c>
      <c r="Q32" s="99" t="str">
        <f t="shared" si="2"/>
        <v>2</v>
      </c>
      <c r="R32" s="6">
        <v>27</v>
      </c>
      <c r="S32" s="9" t="s">
        <v>28</v>
      </c>
      <c r="T32" s="10" t="s">
        <v>32</v>
      </c>
      <c r="U32" s="17">
        <f>'input SKDN 2026'!S42</f>
        <v>31</v>
      </c>
      <c r="Y32" s="19">
        <f t="shared" si="3"/>
        <v>8</v>
      </c>
    </row>
    <row r="33" spans="1:25" x14ac:dyDescent="0.3">
      <c r="A33" s="6">
        <v>28</v>
      </c>
      <c r="B33" s="9" t="s">
        <v>33</v>
      </c>
      <c r="C33" s="35" t="s">
        <v>34</v>
      </c>
      <c r="D33" s="17">
        <f>'input SKDN 2026'!P43</f>
        <v>1</v>
      </c>
      <c r="E33" s="102" t="str">
        <f t="shared" si="0"/>
        <v>3</v>
      </c>
      <c r="G33" s="6">
        <v>28</v>
      </c>
      <c r="H33" s="9" t="s">
        <v>33</v>
      </c>
      <c r="I33" s="10" t="s">
        <v>34</v>
      </c>
      <c r="J33" s="17">
        <f>'input SKDN 2026'!Q43</f>
        <v>23</v>
      </c>
      <c r="K33" s="102" t="str">
        <f t="shared" si="1"/>
        <v>3</v>
      </c>
      <c r="M33" s="6">
        <v>28</v>
      </c>
      <c r="N33" s="9" t="s">
        <v>33</v>
      </c>
      <c r="O33" s="10" t="s">
        <v>34</v>
      </c>
      <c r="P33" s="17">
        <f>'input SKDN 2026'!R43</f>
        <v>412</v>
      </c>
      <c r="Q33" s="99" t="str">
        <f t="shared" si="2"/>
        <v>2</v>
      </c>
      <c r="R33" s="6">
        <v>28</v>
      </c>
      <c r="S33" s="9" t="s">
        <v>33</v>
      </c>
      <c r="T33" s="10" t="s">
        <v>34</v>
      </c>
      <c r="U33" s="17">
        <f>'input SKDN 2026'!S43</f>
        <v>38</v>
      </c>
      <c r="Y33" s="19">
        <f t="shared" si="3"/>
        <v>8</v>
      </c>
    </row>
    <row r="34" spans="1:25" x14ac:dyDescent="0.3">
      <c r="A34" s="6">
        <v>29</v>
      </c>
      <c r="B34" s="9" t="s">
        <v>33</v>
      </c>
      <c r="C34" s="10" t="s">
        <v>35</v>
      </c>
      <c r="D34" s="17">
        <f>'input SKDN 2026'!P44</f>
        <v>0</v>
      </c>
      <c r="E34" s="102" t="str">
        <f t="shared" si="0"/>
        <v>3</v>
      </c>
      <c r="G34" s="6">
        <v>29</v>
      </c>
      <c r="H34" s="9" t="s">
        <v>33</v>
      </c>
      <c r="I34" s="10" t="s">
        <v>35</v>
      </c>
      <c r="J34" s="17">
        <f>'input SKDN 2026'!Q44</f>
        <v>20</v>
      </c>
      <c r="K34" s="102" t="str">
        <f t="shared" si="1"/>
        <v>3</v>
      </c>
      <c r="M34" s="6">
        <v>29</v>
      </c>
      <c r="N34" s="9" t="s">
        <v>33</v>
      </c>
      <c r="O34" s="10" t="s">
        <v>35</v>
      </c>
      <c r="P34" s="17">
        <f>'input SKDN 2026'!R44</f>
        <v>821</v>
      </c>
      <c r="Q34" s="99" t="str">
        <f t="shared" si="2"/>
        <v>2</v>
      </c>
      <c r="R34" s="6">
        <v>29</v>
      </c>
      <c r="S34" s="9" t="s">
        <v>33</v>
      </c>
      <c r="T34" s="10" t="s">
        <v>35</v>
      </c>
      <c r="U34" s="17">
        <f>'input SKDN 2026'!S44</f>
        <v>40</v>
      </c>
      <c r="Y34" s="19">
        <f t="shared" si="3"/>
        <v>8</v>
      </c>
    </row>
    <row r="35" spans="1:25" x14ac:dyDescent="0.3">
      <c r="A35" s="6">
        <v>30</v>
      </c>
      <c r="B35" s="9" t="s">
        <v>33</v>
      </c>
      <c r="C35" s="10" t="s">
        <v>36</v>
      </c>
      <c r="D35" s="17">
        <f>'input SKDN 2026'!P45</f>
        <v>11</v>
      </c>
      <c r="E35" s="102" t="str">
        <f t="shared" si="0"/>
        <v>3</v>
      </c>
      <c r="G35" s="6">
        <v>30</v>
      </c>
      <c r="H35" s="9" t="s">
        <v>33</v>
      </c>
      <c r="I35" s="10" t="s">
        <v>36</v>
      </c>
      <c r="J35" s="17">
        <f>'input SKDN 2026'!Q45</f>
        <v>37</v>
      </c>
      <c r="K35" s="102" t="str">
        <f t="shared" si="1"/>
        <v>3</v>
      </c>
      <c r="M35" s="6">
        <v>30</v>
      </c>
      <c r="N35" s="9" t="s">
        <v>33</v>
      </c>
      <c r="O35" s="10" t="s">
        <v>36</v>
      </c>
      <c r="P35" s="17">
        <f>'input SKDN 2026'!R45</f>
        <v>543</v>
      </c>
      <c r="Q35" s="99" t="str">
        <f t="shared" si="2"/>
        <v>2</v>
      </c>
      <c r="R35" s="6">
        <v>30</v>
      </c>
      <c r="S35" s="9" t="s">
        <v>33</v>
      </c>
      <c r="T35" s="10" t="s">
        <v>36</v>
      </c>
      <c r="U35" s="17">
        <f>'input SKDN 2026'!S45</f>
        <v>49</v>
      </c>
      <c r="Y35" s="19">
        <f t="shared" si="3"/>
        <v>8</v>
      </c>
    </row>
    <row r="36" spans="1:25" x14ac:dyDescent="0.3">
      <c r="A36" s="6">
        <v>31</v>
      </c>
      <c r="B36" s="9" t="s">
        <v>33</v>
      </c>
      <c r="C36" s="10" t="s">
        <v>37</v>
      </c>
      <c r="D36" s="17">
        <f>'input SKDN 2026'!P46</f>
        <v>5</v>
      </c>
      <c r="E36" s="102" t="str">
        <f t="shared" si="0"/>
        <v>3</v>
      </c>
      <c r="G36" s="6">
        <v>31</v>
      </c>
      <c r="H36" s="9" t="s">
        <v>33</v>
      </c>
      <c r="I36" s="10" t="s">
        <v>37</v>
      </c>
      <c r="J36" s="17">
        <f>'input SKDN 2026'!Q46</f>
        <v>19</v>
      </c>
      <c r="K36" s="102" t="str">
        <f t="shared" si="1"/>
        <v>3</v>
      </c>
      <c r="M36" s="6">
        <v>31</v>
      </c>
      <c r="N36" s="9" t="s">
        <v>33</v>
      </c>
      <c r="O36" s="10" t="s">
        <v>37</v>
      </c>
      <c r="P36" s="17">
        <f>'input SKDN 2026'!R46</f>
        <v>441</v>
      </c>
      <c r="Q36" s="99" t="str">
        <f t="shared" si="2"/>
        <v>2</v>
      </c>
      <c r="R36" s="6">
        <v>31</v>
      </c>
      <c r="S36" s="9" t="s">
        <v>33</v>
      </c>
      <c r="T36" s="10" t="s">
        <v>37</v>
      </c>
      <c r="U36" s="17">
        <f>'input SKDN 2026'!S46</f>
        <v>19</v>
      </c>
      <c r="Y36" s="19">
        <f t="shared" si="3"/>
        <v>8</v>
      </c>
    </row>
    <row r="37" spans="1:25" x14ac:dyDescent="0.3">
      <c r="A37" s="6">
        <v>32</v>
      </c>
      <c r="B37" s="9" t="s">
        <v>33</v>
      </c>
      <c r="C37" s="10" t="s">
        <v>38</v>
      </c>
      <c r="D37" s="17">
        <f>'input SKDN 2026'!P47</f>
        <v>10</v>
      </c>
      <c r="E37" s="102" t="str">
        <f t="shared" si="0"/>
        <v>3</v>
      </c>
      <c r="G37" s="6">
        <v>32</v>
      </c>
      <c r="H37" s="9" t="s">
        <v>33</v>
      </c>
      <c r="I37" s="10" t="s">
        <v>38</v>
      </c>
      <c r="J37" s="17">
        <f>'input SKDN 2026'!Q47</f>
        <v>23</v>
      </c>
      <c r="K37" s="102" t="str">
        <f t="shared" si="1"/>
        <v>3</v>
      </c>
      <c r="M37" s="6">
        <v>32</v>
      </c>
      <c r="N37" s="9" t="s">
        <v>33</v>
      </c>
      <c r="O37" s="10" t="s">
        <v>38</v>
      </c>
      <c r="P37" s="17">
        <f>'input SKDN 2026'!R47</f>
        <v>673</v>
      </c>
      <c r="Q37" s="99" t="str">
        <f t="shared" si="2"/>
        <v>2</v>
      </c>
      <c r="R37" s="6">
        <v>32</v>
      </c>
      <c r="S37" s="9" t="s">
        <v>33</v>
      </c>
      <c r="T37" s="10" t="s">
        <v>38</v>
      </c>
      <c r="U37" s="17">
        <f>'input SKDN 2026'!S47</f>
        <v>27</v>
      </c>
      <c r="Y37" s="19">
        <f t="shared" si="3"/>
        <v>8</v>
      </c>
    </row>
    <row r="38" spans="1:25" x14ac:dyDescent="0.3">
      <c r="A38" s="6">
        <v>33</v>
      </c>
      <c r="B38" s="9" t="s">
        <v>39</v>
      </c>
      <c r="C38" s="10" t="s">
        <v>40</v>
      </c>
      <c r="D38" s="17">
        <f>'input SKDN 2026'!P48</f>
        <v>8</v>
      </c>
      <c r="E38" s="102" t="str">
        <f t="shared" si="0"/>
        <v>3</v>
      </c>
      <c r="G38" s="6">
        <v>33</v>
      </c>
      <c r="H38" s="9" t="s">
        <v>39</v>
      </c>
      <c r="I38" s="10" t="s">
        <v>40</v>
      </c>
      <c r="J38" s="17">
        <f>'input SKDN 2026'!Q48</f>
        <v>36</v>
      </c>
      <c r="K38" s="102" t="str">
        <f t="shared" si="1"/>
        <v>3</v>
      </c>
      <c r="M38" s="6">
        <v>33</v>
      </c>
      <c r="N38" s="9" t="s">
        <v>39</v>
      </c>
      <c r="O38" s="10" t="s">
        <v>40</v>
      </c>
      <c r="P38" s="17">
        <f>'input SKDN 2026'!R48</f>
        <v>696</v>
      </c>
      <c r="Q38" s="99" t="str">
        <f t="shared" si="2"/>
        <v>2</v>
      </c>
      <c r="R38" s="6">
        <v>33</v>
      </c>
      <c r="S38" s="9" t="s">
        <v>39</v>
      </c>
      <c r="T38" s="10" t="s">
        <v>40</v>
      </c>
      <c r="U38" s="17">
        <f>'input SKDN 2026'!S48</f>
        <v>22</v>
      </c>
      <c r="Y38" s="19">
        <f t="shared" si="3"/>
        <v>8</v>
      </c>
    </row>
    <row r="39" spans="1:25" x14ac:dyDescent="0.3">
      <c r="A39" s="6">
        <v>34</v>
      </c>
      <c r="B39" s="9" t="s">
        <v>39</v>
      </c>
      <c r="C39" s="10" t="s">
        <v>41</v>
      </c>
      <c r="D39" s="17">
        <f>'input SKDN 2026'!P49</f>
        <v>6</v>
      </c>
      <c r="E39" s="102" t="str">
        <f t="shared" si="0"/>
        <v>3</v>
      </c>
      <c r="G39" s="6">
        <v>34</v>
      </c>
      <c r="H39" s="9" t="s">
        <v>39</v>
      </c>
      <c r="I39" s="10" t="s">
        <v>41</v>
      </c>
      <c r="J39" s="17">
        <f>'input SKDN 2026'!Q49</f>
        <v>33</v>
      </c>
      <c r="K39" s="102" t="str">
        <f t="shared" si="1"/>
        <v>3</v>
      </c>
      <c r="M39" s="6">
        <v>34</v>
      </c>
      <c r="N39" s="9" t="s">
        <v>39</v>
      </c>
      <c r="O39" s="10" t="s">
        <v>41</v>
      </c>
      <c r="P39" s="17">
        <f>'input SKDN 2026'!R49</f>
        <v>752</v>
      </c>
      <c r="Q39" s="99" t="str">
        <f t="shared" si="2"/>
        <v>2</v>
      </c>
      <c r="R39" s="6">
        <v>34</v>
      </c>
      <c r="S39" s="9" t="s">
        <v>39</v>
      </c>
      <c r="T39" s="10" t="s">
        <v>41</v>
      </c>
      <c r="U39" s="17">
        <f>'input SKDN 2026'!S49</f>
        <v>37</v>
      </c>
      <c r="Y39" s="19">
        <f t="shared" si="3"/>
        <v>8</v>
      </c>
    </row>
    <row r="40" spans="1:25" x14ac:dyDescent="0.3">
      <c r="A40" s="6">
        <v>35</v>
      </c>
      <c r="B40" s="9" t="s">
        <v>39</v>
      </c>
      <c r="C40" s="10" t="s">
        <v>42</v>
      </c>
      <c r="D40" s="17">
        <f>'input SKDN 2026'!P50</f>
        <v>4</v>
      </c>
      <c r="E40" s="102" t="str">
        <f t="shared" si="0"/>
        <v>3</v>
      </c>
      <c r="G40" s="6">
        <v>35</v>
      </c>
      <c r="H40" s="9" t="s">
        <v>39</v>
      </c>
      <c r="I40" s="10" t="s">
        <v>42</v>
      </c>
      <c r="J40" s="17">
        <f>'input SKDN 2026'!Q50</f>
        <v>23</v>
      </c>
      <c r="K40" s="102" t="str">
        <f t="shared" si="1"/>
        <v>3</v>
      </c>
      <c r="M40" s="6">
        <v>35</v>
      </c>
      <c r="N40" s="9" t="s">
        <v>39</v>
      </c>
      <c r="O40" s="10" t="s">
        <v>42</v>
      </c>
      <c r="P40" s="17">
        <f>'input SKDN 2026'!R50</f>
        <v>575</v>
      </c>
      <c r="Q40" s="99" t="str">
        <f t="shared" si="2"/>
        <v>2</v>
      </c>
      <c r="R40" s="6">
        <v>35</v>
      </c>
      <c r="S40" s="9" t="s">
        <v>39</v>
      </c>
      <c r="T40" s="10" t="s">
        <v>42</v>
      </c>
      <c r="U40" s="17">
        <f>'input SKDN 2026'!S50</f>
        <v>38</v>
      </c>
      <c r="Y40" s="19">
        <f t="shared" si="3"/>
        <v>8</v>
      </c>
    </row>
    <row r="41" spans="1:25" x14ac:dyDescent="0.3">
      <c r="A41" s="6">
        <v>36</v>
      </c>
      <c r="B41" s="9" t="s">
        <v>39</v>
      </c>
      <c r="C41" s="10" t="s">
        <v>43</v>
      </c>
      <c r="D41" s="17">
        <f>'input SKDN 2026'!P51</f>
        <v>4</v>
      </c>
      <c r="E41" s="102" t="str">
        <f t="shared" si="0"/>
        <v>3</v>
      </c>
      <c r="G41" s="6">
        <v>36</v>
      </c>
      <c r="H41" s="9" t="s">
        <v>39</v>
      </c>
      <c r="I41" s="10" t="s">
        <v>43</v>
      </c>
      <c r="J41" s="17">
        <f>'input SKDN 2026'!Q51</f>
        <v>8</v>
      </c>
      <c r="K41" s="102" t="str">
        <f t="shared" si="1"/>
        <v>2</v>
      </c>
      <c r="M41" s="6">
        <v>36</v>
      </c>
      <c r="N41" s="9" t="s">
        <v>39</v>
      </c>
      <c r="O41" s="10" t="s">
        <v>43</v>
      </c>
      <c r="P41" s="17">
        <f>'input SKDN 2026'!R51</f>
        <v>605</v>
      </c>
      <c r="Q41" s="99" t="str">
        <f t="shared" si="2"/>
        <v>2</v>
      </c>
      <c r="R41" s="6">
        <v>36</v>
      </c>
      <c r="S41" s="9" t="s">
        <v>39</v>
      </c>
      <c r="T41" s="10" t="s">
        <v>43</v>
      </c>
      <c r="U41" s="17">
        <f>'input SKDN 2026'!S51</f>
        <v>20</v>
      </c>
      <c r="Y41" s="19">
        <f t="shared" si="3"/>
        <v>7</v>
      </c>
    </row>
    <row r="42" spans="1:25" x14ac:dyDescent="0.3">
      <c r="A42" s="6">
        <v>37</v>
      </c>
      <c r="B42" s="9" t="s">
        <v>39</v>
      </c>
      <c r="C42" s="10" t="s">
        <v>44</v>
      </c>
      <c r="D42" s="17">
        <f>'input SKDN 2026'!P52</f>
        <v>1</v>
      </c>
      <c r="E42" s="102" t="str">
        <f t="shared" si="0"/>
        <v>3</v>
      </c>
      <c r="G42" s="6">
        <v>37</v>
      </c>
      <c r="H42" s="9" t="s">
        <v>39</v>
      </c>
      <c r="I42" s="10" t="s">
        <v>44</v>
      </c>
      <c r="J42" s="17">
        <f>'input SKDN 2026'!Q52</f>
        <v>12</v>
      </c>
      <c r="K42" s="102" t="str">
        <f t="shared" si="1"/>
        <v>3</v>
      </c>
      <c r="M42" s="6">
        <v>37</v>
      </c>
      <c r="N42" s="9" t="s">
        <v>39</v>
      </c>
      <c r="O42" s="10" t="s">
        <v>44</v>
      </c>
      <c r="P42" s="17">
        <f>'input SKDN 2026'!R52</f>
        <v>693</v>
      </c>
      <c r="Q42" s="99" t="str">
        <f t="shared" si="2"/>
        <v>2</v>
      </c>
      <c r="R42" s="6">
        <v>37</v>
      </c>
      <c r="S42" s="9" t="s">
        <v>39</v>
      </c>
      <c r="T42" s="10" t="s">
        <v>44</v>
      </c>
      <c r="U42" s="17">
        <f>'input SKDN 2026'!S52</f>
        <v>14</v>
      </c>
      <c r="Y42" s="19">
        <f t="shared" si="3"/>
        <v>8</v>
      </c>
    </row>
    <row r="43" spans="1:25" x14ac:dyDescent="0.3">
      <c r="A43" s="6">
        <v>38</v>
      </c>
      <c r="B43" s="9" t="s">
        <v>45</v>
      </c>
      <c r="C43" s="10" t="s">
        <v>46</v>
      </c>
      <c r="D43" s="17">
        <f>'input SKDN 2026'!P53</f>
        <v>9</v>
      </c>
      <c r="E43" s="102" t="str">
        <f t="shared" si="0"/>
        <v>3</v>
      </c>
      <c r="G43" s="6">
        <v>38</v>
      </c>
      <c r="H43" s="9" t="s">
        <v>45</v>
      </c>
      <c r="I43" s="10" t="s">
        <v>46</v>
      </c>
      <c r="J43" s="17">
        <f>'input SKDN 2026'!Q53</f>
        <v>47</v>
      </c>
      <c r="K43" s="102" t="str">
        <f t="shared" si="1"/>
        <v>3</v>
      </c>
      <c r="M43" s="6">
        <v>38</v>
      </c>
      <c r="N43" s="9" t="s">
        <v>45</v>
      </c>
      <c r="O43" s="10" t="s">
        <v>46</v>
      </c>
      <c r="P43" s="17">
        <f>'input SKDN 2026'!R53</f>
        <v>431</v>
      </c>
      <c r="Q43" s="99" t="str">
        <f t="shared" si="2"/>
        <v>2</v>
      </c>
      <c r="R43" s="6">
        <v>38</v>
      </c>
      <c r="S43" s="9" t="s">
        <v>45</v>
      </c>
      <c r="T43" s="10" t="s">
        <v>46</v>
      </c>
      <c r="U43" s="17">
        <f>'input SKDN 2026'!S53</f>
        <v>12</v>
      </c>
      <c r="Y43" s="19">
        <f t="shared" si="3"/>
        <v>8</v>
      </c>
    </row>
    <row r="44" spans="1:25" x14ac:dyDescent="0.3">
      <c r="A44" s="6">
        <v>39</v>
      </c>
      <c r="B44" s="9" t="s">
        <v>45</v>
      </c>
      <c r="C44" s="10" t="s">
        <v>47</v>
      </c>
      <c r="D44" s="17">
        <f>'input SKDN 2026'!P54</f>
        <v>7</v>
      </c>
      <c r="E44" s="102" t="str">
        <f t="shared" si="0"/>
        <v>3</v>
      </c>
      <c r="G44" s="6">
        <v>39</v>
      </c>
      <c r="H44" s="9" t="s">
        <v>45</v>
      </c>
      <c r="I44" s="10" t="s">
        <v>47</v>
      </c>
      <c r="J44" s="17">
        <f>'input SKDN 2026'!Q54</f>
        <v>22</v>
      </c>
      <c r="K44" s="102" t="str">
        <f t="shared" si="1"/>
        <v>3</v>
      </c>
      <c r="M44" s="6">
        <v>39</v>
      </c>
      <c r="N44" s="9" t="s">
        <v>45</v>
      </c>
      <c r="O44" s="10" t="s">
        <v>47</v>
      </c>
      <c r="P44" s="17">
        <f>'input SKDN 2026'!R54</f>
        <v>296</v>
      </c>
      <c r="Q44" s="99" t="str">
        <f t="shared" si="2"/>
        <v>2</v>
      </c>
      <c r="R44" s="6">
        <v>39</v>
      </c>
      <c r="S44" s="9" t="s">
        <v>45</v>
      </c>
      <c r="T44" s="10" t="s">
        <v>47</v>
      </c>
      <c r="U44" s="17">
        <f>'input SKDN 2026'!S54</f>
        <v>10</v>
      </c>
      <c r="Y44" s="19">
        <f t="shared" si="3"/>
        <v>8</v>
      </c>
    </row>
    <row r="45" spans="1:25" x14ac:dyDescent="0.3">
      <c r="A45" s="6">
        <v>40</v>
      </c>
      <c r="B45" s="9" t="s">
        <v>45</v>
      </c>
      <c r="C45" s="10" t="s">
        <v>48</v>
      </c>
      <c r="D45" s="17">
        <f>'input SKDN 2026'!P55</f>
        <v>6</v>
      </c>
      <c r="E45" s="102" t="str">
        <f t="shared" si="0"/>
        <v>3</v>
      </c>
      <c r="G45" s="6">
        <v>40</v>
      </c>
      <c r="H45" s="9" t="s">
        <v>45</v>
      </c>
      <c r="I45" s="10" t="s">
        <v>48</v>
      </c>
      <c r="J45" s="17">
        <f>'input SKDN 2026'!Q55</f>
        <v>28</v>
      </c>
      <c r="K45" s="102" t="str">
        <f t="shared" si="1"/>
        <v>3</v>
      </c>
      <c r="M45" s="6">
        <v>40</v>
      </c>
      <c r="N45" s="9" t="s">
        <v>45</v>
      </c>
      <c r="O45" s="10" t="s">
        <v>48</v>
      </c>
      <c r="P45" s="17">
        <f>'input SKDN 2026'!R55</f>
        <v>505</v>
      </c>
      <c r="Q45" s="99" t="str">
        <f t="shared" si="2"/>
        <v>2</v>
      </c>
      <c r="R45" s="6">
        <v>40</v>
      </c>
      <c r="S45" s="9" t="s">
        <v>45</v>
      </c>
      <c r="T45" s="10" t="s">
        <v>48</v>
      </c>
      <c r="U45" s="17">
        <f>'input SKDN 2026'!S55</f>
        <v>18</v>
      </c>
      <c r="Y45" s="19">
        <f t="shared" si="3"/>
        <v>8</v>
      </c>
    </row>
    <row r="46" spans="1:25" x14ac:dyDescent="0.3">
      <c r="A46" s="6">
        <v>41</v>
      </c>
      <c r="B46" s="9" t="s">
        <v>45</v>
      </c>
      <c r="C46" s="10" t="s">
        <v>58</v>
      </c>
      <c r="D46" s="17">
        <f>'input SKDN 2026'!P56</f>
        <v>16</v>
      </c>
      <c r="E46" s="102" t="str">
        <f t="shared" si="0"/>
        <v>3</v>
      </c>
      <c r="G46" s="6">
        <v>41</v>
      </c>
      <c r="H46" s="9" t="s">
        <v>45</v>
      </c>
      <c r="I46" s="10" t="s">
        <v>49</v>
      </c>
      <c r="J46" s="17">
        <f>'input SKDN 2026'!Q56</f>
        <v>50</v>
      </c>
      <c r="K46" s="102" t="str">
        <f t="shared" si="1"/>
        <v>3</v>
      </c>
      <c r="M46" s="6">
        <v>41</v>
      </c>
      <c r="N46" s="9" t="s">
        <v>45</v>
      </c>
      <c r="O46" s="10" t="s">
        <v>49</v>
      </c>
      <c r="P46" s="17">
        <f>'input SKDN 2026'!R56</f>
        <v>863</v>
      </c>
      <c r="Q46" s="99" t="str">
        <f t="shared" si="2"/>
        <v>2</v>
      </c>
      <c r="R46" s="6">
        <v>41</v>
      </c>
      <c r="S46" s="9" t="s">
        <v>45</v>
      </c>
      <c r="T46" s="10" t="s">
        <v>49</v>
      </c>
      <c r="U46" s="17">
        <f>'input SKDN 2026'!S56</f>
        <v>17</v>
      </c>
      <c r="Y46" s="19">
        <f t="shared" si="3"/>
        <v>8</v>
      </c>
    </row>
    <row r="47" spans="1:25" x14ac:dyDescent="0.3">
      <c r="A47" s="6">
        <v>42</v>
      </c>
      <c r="B47" s="9" t="s">
        <v>45</v>
      </c>
      <c r="C47" s="10" t="s">
        <v>50</v>
      </c>
      <c r="D47" s="17">
        <f>'input SKDN 2026'!P57</f>
        <v>8</v>
      </c>
      <c r="E47" s="102" t="str">
        <f t="shared" si="0"/>
        <v>3</v>
      </c>
      <c r="G47" s="6">
        <v>42</v>
      </c>
      <c r="H47" s="9" t="s">
        <v>45</v>
      </c>
      <c r="I47" s="10" t="s">
        <v>50</v>
      </c>
      <c r="J47" s="17">
        <f>'input SKDN 2026'!Q57</f>
        <v>34</v>
      </c>
      <c r="K47" s="102" t="str">
        <f t="shared" si="1"/>
        <v>3</v>
      </c>
      <c r="M47" s="6">
        <v>42</v>
      </c>
      <c r="N47" s="9" t="s">
        <v>45</v>
      </c>
      <c r="O47" s="10" t="s">
        <v>50</v>
      </c>
      <c r="P47" s="17">
        <f>'input SKDN 2026'!R57</f>
        <v>796</v>
      </c>
      <c r="Q47" s="99" t="str">
        <f t="shared" si="2"/>
        <v>2</v>
      </c>
      <c r="R47" s="6">
        <v>42</v>
      </c>
      <c r="S47" s="9" t="s">
        <v>45</v>
      </c>
      <c r="T47" s="10" t="s">
        <v>50</v>
      </c>
      <c r="U47" s="17">
        <f>'input SKDN 2026'!S57</f>
        <v>38</v>
      </c>
      <c r="Y47" s="19">
        <f t="shared" si="3"/>
        <v>8</v>
      </c>
    </row>
    <row r="48" spans="1:25" x14ac:dyDescent="0.3">
      <c r="A48" s="12">
        <v>43</v>
      </c>
      <c r="B48" s="13" t="s">
        <v>45</v>
      </c>
      <c r="C48" s="14" t="s">
        <v>51</v>
      </c>
      <c r="D48" s="17">
        <f>'input SKDN 2026'!P58</f>
        <v>9</v>
      </c>
      <c r="E48" s="102" t="str">
        <f t="shared" si="0"/>
        <v>3</v>
      </c>
      <c r="G48" s="12">
        <v>43</v>
      </c>
      <c r="H48" s="13" t="s">
        <v>45</v>
      </c>
      <c r="I48" s="14" t="s">
        <v>51</v>
      </c>
      <c r="J48" s="17">
        <f>'input SKDN 2026'!Q58</f>
        <v>31</v>
      </c>
      <c r="K48" s="102" t="str">
        <f t="shared" si="1"/>
        <v>3</v>
      </c>
      <c r="M48" s="12">
        <v>43</v>
      </c>
      <c r="N48" s="13" t="s">
        <v>45</v>
      </c>
      <c r="O48" s="14" t="s">
        <v>51</v>
      </c>
      <c r="P48" s="17">
        <f>'input SKDN 2026'!R58</f>
        <v>578</v>
      </c>
      <c r="Q48" s="99" t="str">
        <f t="shared" si="2"/>
        <v>2</v>
      </c>
      <c r="R48" s="12">
        <v>43</v>
      </c>
      <c r="S48" s="13" t="s">
        <v>45</v>
      </c>
      <c r="T48" s="14" t="s">
        <v>51</v>
      </c>
      <c r="U48" s="17">
        <f>'input SKDN 2026'!S58</f>
        <v>18</v>
      </c>
      <c r="Y48" s="20">
        <f t="shared" si="3"/>
        <v>8</v>
      </c>
    </row>
  </sheetData>
  <autoFilter ref="A5:Y48" xr:uid="{00000000-0009-0000-0000-000002000000}">
    <sortState xmlns:xlrd2="http://schemas.microsoft.com/office/spreadsheetml/2017/richdata2" ref="A6:Y48">
      <sortCondition ref="A5:A48"/>
    </sortState>
  </autoFilter>
  <sortState xmlns:xlrd2="http://schemas.microsoft.com/office/spreadsheetml/2017/richdata2" ref="A29:D32">
    <sortCondition ref="A29:A32"/>
  </sortState>
  <mergeCells count="4">
    <mergeCell ref="A4:D4"/>
    <mergeCell ref="G4:J4"/>
    <mergeCell ref="M4:P4"/>
    <mergeCell ref="R4:U4"/>
  </mergeCells>
  <pageMargins left="0.39370078740157499" right="0.39370078740157499" top="0.53740157499999996" bottom="0.68110236199999996" header="0.31496062992126" footer="0.31496062992126"/>
  <pageSetup paperSize="5" scale="68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SKDN 2026</vt:lpstr>
      <vt:lpstr>sinkronize</vt:lpstr>
      <vt:lpstr>bobot komposit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THINKPAD</cp:lastModifiedBy>
  <cp:lastPrinted>2020-05-03T19:14:21Z</cp:lastPrinted>
  <dcterms:created xsi:type="dcterms:W3CDTF">2019-01-02T20:39:00Z</dcterms:created>
  <dcterms:modified xsi:type="dcterms:W3CDTF">2026-07-09T05:47:42Z</dcterms:modified>
</cp:coreProperties>
</file>